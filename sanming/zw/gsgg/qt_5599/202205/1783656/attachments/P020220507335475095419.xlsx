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925" windowHeight="11445"/>
  </bookViews>
  <sheets>
    <sheet name="第三批" sheetId="2" r:id="rId1"/>
    <sheet name="Sheet3" sheetId="3" r:id="rId2"/>
  </sheets>
  <definedNames>
    <definedName name="_xlnm.Print_Area" localSheetId="0">第三批!$A$1:$K$21</definedName>
    <definedName name="_xlnm.Print_Titles" localSheetId="0">第三批!$2:$5</definedName>
  </definedNames>
  <calcPr calcId="124519"/>
</workbook>
</file>

<file path=xl/calcChain.xml><?xml version="1.0" encoding="utf-8"?>
<calcChain xmlns="http://schemas.openxmlformats.org/spreadsheetml/2006/main">
  <c r="H20" i="2"/>
  <c r="G20"/>
  <c r="H15"/>
  <c r="H16"/>
  <c r="H17"/>
  <c r="H18"/>
  <c r="G15"/>
  <c r="G16"/>
  <c r="G17"/>
  <c r="G18"/>
  <c r="H14"/>
  <c r="G14"/>
  <c r="F20"/>
  <c r="F16"/>
  <c r="F17"/>
  <c r="F18"/>
  <c r="F15"/>
  <c r="F11"/>
  <c r="F12"/>
  <c r="F10"/>
  <c r="F9"/>
  <c r="E8"/>
  <c r="E7"/>
  <c r="E6"/>
  <c r="E21" s="1"/>
  <c r="G21"/>
  <c r="C21"/>
  <c r="D21"/>
  <c r="H21"/>
  <c r="F21" l="1"/>
</calcChain>
</file>

<file path=xl/sharedStrings.xml><?xml version="1.0" encoding="utf-8"?>
<sst xmlns="http://schemas.openxmlformats.org/spreadsheetml/2006/main" count="47" uniqueCount="44">
  <si>
    <t>项目名称</t>
  </si>
  <si>
    <t>项目建设地点（乡镇）</t>
  </si>
  <si>
    <t>高标准农田（亩）</t>
  </si>
  <si>
    <t>其中：</t>
  </si>
  <si>
    <t>投    资  （万元）</t>
  </si>
  <si>
    <t>高效节水灌溉（亩）</t>
  </si>
  <si>
    <t>总计</t>
  </si>
  <si>
    <t>财  政  资  金</t>
  </si>
  <si>
    <t>其他资金</t>
  </si>
  <si>
    <t>合计</t>
  </si>
  <si>
    <t>中央               资金</t>
  </si>
  <si>
    <t>省级资金</t>
  </si>
  <si>
    <t>市、县地方配套资金</t>
  </si>
  <si>
    <t>小计</t>
  </si>
  <si>
    <t>银行贷款</t>
  </si>
  <si>
    <t>三明市2022年高标准农田建设项目投资和任务情况表（第一批）</t>
    <phoneticPr fontId="6" type="noConversion"/>
  </si>
  <si>
    <t>明溪县盖洋镇2022年中央预算内投资高标准农田建设项目</t>
  </si>
  <si>
    <t>盖洋镇</t>
  </si>
  <si>
    <t>明溪县沙溪乡2022年高标准农田建设项目</t>
  </si>
  <si>
    <t>沙溪乡</t>
  </si>
  <si>
    <t>明溪县盖洋镇湖上村2022年高标准农田建设项目</t>
  </si>
  <si>
    <t>明溪县盖洋镇大坑等5个村2022年高标准农田建设项目</t>
  </si>
  <si>
    <t>建宁县黄埠乡2022年度中央预算内高标准农田建设项目</t>
  </si>
  <si>
    <t>建宁县客坊乡2022年度高标准农田项目</t>
    <phoneticPr fontId="6" type="noConversion"/>
  </si>
  <si>
    <t>建宁县溪口镇2022年高标准农田建设项目</t>
    <phoneticPr fontId="6" type="noConversion"/>
  </si>
  <si>
    <t>建宁县里心镇2022年高标准农田建设项目</t>
    <phoneticPr fontId="6" type="noConversion"/>
  </si>
  <si>
    <t>黄埠乡</t>
    <phoneticPr fontId="6" type="noConversion"/>
  </si>
  <si>
    <t>客坊乡</t>
    <phoneticPr fontId="6" type="noConversion"/>
  </si>
  <si>
    <t>溪口镇</t>
    <phoneticPr fontId="6" type="noConversion"/>
  </si>
  <si>
    <t>里心镇</t>
    <phoneticPr fontId="6" type="noConversion"/>
  </si>
  <si>
    <t>清流县赖坊镇2022年高标准农田建设项目</t>
    <phoneticPr fontId="6" type="noConversion"/>
  </si>
  <si>
    <t>清流县林畲镇2022年高标准农田建设项目</t>
    <phoneticPr fontId="6" type="noConversion"/>
  </si>
  <si>
    <t>清流县嵩口镇2022年高标准农田建设项目</t>
    <phoneticPr fontId="6" type="noConversion"/>
  </si>
  <si>
    <t>清流县嵩溪镇2022年高标准农田建设项目</t>
  </si>
  <si>
    <t>清流县田源乡2022年高标准农田建设项目</t>
    <phoneticPr fontId="6" type="noConversion"/>
  </si>
  <si>
    <t>清流县温郊乡2022年中央预算内投资高标准农田建设项目</t>
    <phoneticPr fontId="6" type="noConversion"/>
  </si>
  <si>
    <t>清流县余朋乡2022年高标准农田建设项目</t>
    <phoneticPr fontId="6" type="noConversion"/>
  </si>
  <si>
    <t>赖坊镇</t>
    <phoneticPr fontId="6" type="noConversion"/>
  </si>
  <si>
    <t>林畲镇</t>
    <phoneticPr fontId="6" type="noConversion"/>
  </si>
  <si>
    <t>嵩口镇</t>
    <phoneticPr fontId="6" type="noConversion"/>
  </si>
  <si>
    <t>嵩溪镇</t>
    <phoneticPr fontId="6" type="noConversion"/>
  </si>
  <si>
    <t>田源乡</t>
    <phoneticPr fontId="6" type="noConversion"/>
  </si>
  <si>
    <t>温郊乡</t>
    <phoneticPr fontId="6" type="noConversion"/>
  </si>
  <si>
    <t>余朋乡</t>
    <phoneticPr fontId="6" type="noConversion"/>
  </si>
</sst>
</file>

<file path=xl/styles.xml><?xml version="1.0" encoding="utf-8"?>
<styleSheet xmlns="http://schemas.openxmlformats.org/spreadsheetml/2006/main">
  <numFmts count="7">
    <numFmt numFmtId="176" formatCode="0.0_ "/>
    <numFmt numFmtId="177" formatCode="0_ "/>
    <numFmt numFmtId="178" formatCode="0_);[Red]\(0\)"/>
    <numFmt numFmtId="179" formatCode="0.00_);[Red]\(0.00\)"/>
    <numFmt numFmtId="180" formatCode="0.0_);[Red]\(0.0\)"/>
    <numFmt numFmtId="181" formatCode="0.00_ "/>
    <numFmt numFmtId="182" formatCode="0.000_ "/>
  </numFmts>
  <fonts count="10">
    <font>
      <sz val="12"/>
      <name val="宋体"/>
      <charset val="134"/>
    </font>
    <font>
      <sz val="16"/>
      <name val="黑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37">
    <xf numFmtId="0" fontId="0" fillId="0" borderId="0" xfId="0">
      <alignment vertical="center"/>
    </xf>
    <xf numFmtId="179" fontId="2" fillId="0" borderId="1" xfId="1" applyNumberFormat="1" applyFont="1" applyFill="1" applyBorder="1" applyAlignment="1">
      <alignment horizontal="center" vertical="center" wrapText="1"/>
    </xf>
    <xf numFmtId="181" fontId="3" fillId="0" borderId="1" xfId="1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81" fontId="3" fillId="0" borderId="1" xfId="0" applyNumberFormat="1" applyFont="1" applyBorder="1" applyAlignment="1">
      <alignment horizontal="center" vertical="center" wrapText="1"/>
    </xf>
    <xf numFmtId="180" fontId="0" fillId="0" borderId="0" xfId="0" applyNumberFormat="1">
      <alignment vertical="center"/>
    </xf>
    <xf numFmtId="181" fontId="3" fillId="0" borderId="3" xfId="1" applyNumberFormat="1" applyFont="1" applyFill="1" applyBorder="1" applyAlignment="1">
      <alignment horizontal="center" vertical="center" wrapText="1"/>
    </xf>
    <xf numFmtId="176" fontId="0" fillId="0" borderId="0" xfId="0" applyNumberFormat="1" applyFont="1">
      <alignment vertical="center"/>
    </xf>
    <xf numFmtId="176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3" fillId="0" borderId="1" xfId="0" applyNumberFormat="1" applyFont="1" applyBorder="1" applyAlignment="1">
      <alignment horizontal="center" vertical="center" wrapText="1"/>
    </xf>
    <xf numFmtId="179" fontId="3" fillId="0" borderId="1" xfId="1" applyNumberFormat="1" applyFont="1" applyFill="1" applyBorder="1" applyAlignment="1">
      <alignment horizontal="center" vertical="center" wrapText="1"/>
    </xf>
    <xf numFmtId="177" fontId="2" fillId="0" borderId="1" xfId="1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76" fontId="2" fillId="0" borderId="1" xfId="1" applyNumberFormat="1" applyFont="1" applyFill="1" applyBorder="1" applyAlignment="1">
      <alignment horizontal="center" vertical="center" wrapText="1"/>
    </xf>
    <xf numFmtId="178" fontId="2" fillId="0" borderId="1" xfId="1" applyNumberFormat="1" applyFont="1" applyFill="1" applyBorder="1" applyAlignment="1">
      <alignment horizontal="center" vertical="center" wrapText="1"/>
    </xf>
    <xf numFmtId="177" fontId="2" fillId="0" borderId="1" xfId="1" applyNumberFormat="1" applyFont="1" applyFill="1" applyBorder="1" applyAlignment="1">
      <alignment horizontal="center" vertical="center" wrapText="1"/>
    </xf>
    <xf numFmtId="179" fontId="2" fillId="0" borderId="1" xfId="1" applyNumberFormat="1" applyFont="1" applyFill="1" applyBorder="1" applyAlignment="1">
      <alignment horizontal="center" vertical="center" wrapText="1"/>
    </xf>
    <xf numFmtId="176" fontId="1" fillId="0" borderId="0" xfId="1" applyNumberFormat="1" applyFont="1" applyFill="1" applyBorder="1" applyAlignment="1">
      <alignment horizontal="center" vertical="center" wrapText="1"/>
    </xf>
    <xf numFmtId="179" fontId="2" fillId="0" borderId="2" xfId="1" applyNumberFormat="1" applyFont="1" applyFill="1" applyBorder="1" applyAlignment="1">
      <alignment horizontal="center" vertical="center" wrapText="1"/>
    </xf>
    <xf numFmtId="179" fontId="2" fillId="0" borderId="3" xfId="1" applyNumberFormat="1" applyFont="1" applyFill="1" applyBorder="1" applyAlignment="1">
      <alignment horizontal="center" vertical="center" wrapText="1"/>
    </xf>
    <xf numFmtId="176" fontId="7" fillId="0" borderId="1" xfId="1" applyNumberFormat="1" applyFont="1" applyFill="1" applyBorder="1" applyAlignment="1">
      <alignment horizontal="left" vertical="center" wrapText="1"/>
    </xf>
    <xf numFmtId="178" fontId="7" fillId="0" borderId="1" xfId="1" applyNumberFormat="1" applyFont="1" applyFill="1" applyBorder="1" applyAlignment="1">
      <alignment horizontal="center" vertical="center" wrapText="1"/>
    </xf>
    <xf numFmtId="177" fontId="7" fillId="0" borderId="1" xfId="1" applyNumberFormat="1" applyFont="1" applyFill="1" applyBorder="1" applyAlignment="1">
      <alignment horizontal="center" vertical="center" wrapText="1"/>
    </xf>
    <xf numFmtId="179" fontId="7" fillId="0" borderId="1" xfId="0" applyNumberFormat="1" applyFont="1" applyBorder="1" applyAlignment="1">
      <alignment horizontal="center" vertical="center" wrapText="1"/>
    </xf>
    <xf numFmtId="179" fontId="7" fillId="0" borderId="1" xfId="1" applyNumberFormat="1" applyFont="1" applyFill="1" applyBorder="1" applyAlignment="1">
      <alignment horizontal="center" vertical="center" wrapText="1"/>
    </xf>
    <xf numFmtId="181" fontId="7" fillId="0" borderId="1" xfId="1" applyNumberFormat="1" applyFont="1" applyFill="1" applyBorder="1" applyAlignment="1">
      <alignment horizontal="center" vertical="center" wrapText="1"/>
    </xf>
    <xf numFmtId="181" fontId="7" fillId="0" borderId="3" xfId="1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 applyProtection="1">
      <alignment horizontal="left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 wrapText="1"/>
    </xf>
    <xf numFmtId="182" fontId="7" fillId="0" borderId="1" xfId="1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342900</xdr:colOff>
      <xdr:row>4</xdr:row>
      <xdr:rowOff>323219</xdr:rowOff>
    </xdr:from>
    <xdr:ext cx="190741" cy="275592"/>
    <xdr:sp macro="" textlink="">
      <xdr:nvSpPr>
        <xdr:cNvPr id="2" name="TextBox 1"/>
        <xdr:cNvSpPr txBox="1"/>
      </xdr:nvSpPr>
      <xdr:spPr>
        <a:xfrm>
          <a:off x="9629775" y="1935480"/>
          <a:ext cx="190500" cy="2755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/>
        </a:p>
      </xdr:txBody>
    </xdr:sp>
    <xdr:clientData/>
  </xdr:oneCellAnchor>
  <xdr:oneCellAnchor>
    <xdr:from>
      <xdr:col>10</xdr:col>
      <xdr:colOff>342900</xdr:colOff>
      <xdr:row>4</xdr:row>
      <xdr:rowOff>323219</xdr:rowOff>
    </xdr:from>
    <xdr:ext cx="190741" cy="275592"/>
    <xdr:sp macro="" textlink="">
      <xdr:nvSpPr>
        <xdr:cNvPr id="3" name="TextBox 1"/>
        <xdr:cNvSpPr txBox="1"/>
      </xdr:nvSpPr>
      <xdr:spPr>
        <a:xfrm>
          <a:off x="9629775" y="1935480"/>
          <a:ext cx="190500" cy="2755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/>
        </a:p>
      </xdr:txBody>
    </xdr:sp>
    <xdr:clientData/>
  </xdr:oneCellAnchor>
  <xdr:oneCellAnchor>
    <xdr:from>
      <xdr:col>10</xdr:col>
      <xdr:colOff>342900</xdr:colOff>
      <xdr:row>4</xdr:row>
      <xdr:rowOff>323219</xdr:rowOff>
    </xdr:from>
    <xdr:ext cx="190741" cy="275592"/>
    <xdr:sp macro="" textlink="">
      <xdr:nvSpPr>
        <xdr:cNvPr id="4" name="TextBox 1"/>
        <xdr:cNvSpPr txBox="1"/>
      </xdr:nvSpPr>
      <xdr:spPr>
        <a:xfrm>
          <a:off x="9629775" y="1935480"/>
          <a:ext cx="190500" cy="2755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/>
        </a:p>
      </xdr:txBody>
    </xdr:sp>
    <xdr:clientData/>
  </xdr:oneCellAnchor>
  <xdr:oneCellAnchor>
    <xdr:from>
      <xdr:col>10</xdr:col>
      <xdr:colOff>342900</xdr:colOff>
      <xdr:row>4</xdr:row>
      <xdr:rowOff>323219</xdr:rowOff>
    </xdr:from>
    <xdr:ext cx="190741" cy="275592"/>
    <xdr:sp macro="" textlink="">
      <xdr:nvSpPr>
        <xdr:cNvPr id="5" name="TextBox 1"/>
        <xdr:cNvSpPr txBox="1"/>
      </xdr:nvSpPr>
      <xdr:spPr>
        <a:xfrm>
          <a:off x="9629775" y="1935480"/>
          <a:ext cx="190500" cy="2755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/>
        </a:p>
      </xdr:txBody>
    </xdr:sp>
    <xdr:clientData/>
  </xdr:oneCellAnchor>
  <xdr:oneCellAnchor>
    <xdr:from>
      <xdr:col>10</xdr:col>
      <xdr:colOff>342900</xdr:colOff>
      <xdr:row>4</xdr:row>
      <xdr:rowOff>323219</xdr:rowOff>
    </xdr:from>
    <xdr:ext cx="190741" cy="275592"/>
    <xdr:sp macro="" textlink="">
      <xdr:nvSpPr>
        <xdr:cNvPr id="6" name="TextBox 1"/>
        <xdr:cNvSpPr txBox="1"/>
      </xdr:nvSpPr>
      <xdr:spPr>
        <a:xfrm>
          <a:off x="9629775" y="1935480"/>
          <a:ext cx="190500" cy="2755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/>
        </a:p>
      </xdr:txBody>
    </xdr:sp>
    <xdr:clientData/>
  </xdr:oneCellAnchor>
  <xdr:oneCellAnchor>
    <xdr:from>
      <xdr:col>10</xdr:col>
      <xdr:colOff>342900</xdr:colOff>
      <xdr:row>4</xdr:row>
      <xdr:rowOff>323219</xdr:rowOff>
    </xdr:from>
    <xdr:ext cx="190741" cy="275592"/>
    <xdr:sp macro="" textlink="">
      <xdr:nvSpPr>
        <xdr:cNvPr id="7" name="TextBox 1"/>
        <xdr:cNvSpPr txBox="1"/>
      </xdr:nvSpPr>
      <xdr:spPr>
        <a:xfrm>
          <a:off x="9629775" y="1935480"/>
          <a:ext cx="190500" cy="2755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/>
        </a:p>
      </xdr:txBody>
    </xdr:sp>
    <xdr:clientData/>
  </xdr:oneCellAnchor>
  <xdr:oneCellAnchor>
    <xdr:from>
      <xdr:col>10</xdr:col>
      <xdr:colOff>342900</xdr:colOff>
      <xdr:row>4</xdr:row>
      <xdr:rowOff>323219</xdr:rowOff>
    </xdr:from>
    <xdr:ext cx="190741" cy="275592"/>
    <xdr:sp macro="" textlink="">
      <xdr:nvSpPr>
        <xdr:cNvPr id="8" name="TextBox 1"/>
        <xdr:cNvSpPr txBox="1"/>
      </xdr:nvSpPr>
      <xdr:spPr>
        <a:xfrm>
          <a:off x="9629775" y="1935480"/>
          <a:ext cx="190500" cy="2755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/>
        </a:p>
      </xdr:txBody>
    </xdr:sp>
    <xdr:clientData/>
  </xdr:oneCellAnchor>
  <xdr:oneCellAnchor>
    <xdr:from>
      <xdr:col>10</xdr:col>
      <xdr:colOff>342900</xdr:colOff>
      <xdr:row>0</xdr:row>
      <xdr:rowOff>0</xdr:rowOff>
    </xdr:from>
    <xdr:ext cx="190741" cy="277274"/>
    <xdr:sp macro="" textlink="">
      <xdr:nvSpPr>
        <xdr:cNvPr id="9" name="TextBox 1"/>
        <xdr:cNvSpPr txBox="1"/>
      </xdr:nvSpPr>
      <xdr:spPr>
        <a:xfrm>
          <a:off x="9629775" y="0"/>
          <a:ext cx="190500" cy="276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/>
        </a:p>
      </xdr:txBody>
    </xdr:sp>
    <xdr:clientData/>
  </xdr:oneCellAnchor>
  <xdr:oneCellAnchor>
    <xdr:from>
      <xdr:col>10</xdr:col>
      <xdr:colOff>342900</xdr:colOff>
      <xdr:row>0</xdr:row>
      <xdr:rowOff>0</xdr:rowOff>
    </xdr:from>
    <xdr:ext cx="190741" cy="277274"/>
    <xdr:sp macro="" textlink="">
      <xdr:nvSpPr>
        <xdr:cNvPr id="10" name="TextBox 1"/>
        <xdr:cNvSpPr txBox="1"/>
      </xdr:nvSpPr>
      <xdr:spPr>
        <a:xfrm>
          <a:off x="9629775" y="0"/>
          <a:ext cx="190500" cy="276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/>
        </a:p>
      </xdr:txBody>
    </xdr:sp>
    <xdr:clientData/>
  </xdr:oneCellAnchor>
  <xdr:oneCellAnchor>
    <xdr:from>
      <xdr:col>10</xdr:col>
      <xdr:colOff>342900</xdr:colOff>
      <xdr:row>0</xdr:row>
      <xdr:rowOff>0</xdr:rowOff>
    </xdr:from>
    <xdr:ext cx="190741" cy="277274"/>
    <xdr:sp macro="" textlink="">
      <xdr:nvSpPr>
        <xdr:cNvPr id="11" name="TextBox 1"/>
        <xdr:cNvSpPr txBox="1"/>
      </xdr:nvSpPr>
      <xdr:spPr>
        <a:xfrm>
          <a:off x="9629775" y="0"/>
          <a:ext cx="190500" cy="276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/>
        </a:p>
      </xdr:txBody>
    </xdr:sp>
    <xdr:clientData/>
  </xdr:oneCellAnchor>
  <xdr:oneCellAnchor>
    <xdr:from>
      <xdr:col>10</xdr:col>
      <xdr:colOff>342900</xdr:colOff>
      <xdr:row>0</xdr:row>
      <xdr:rowOff>0</xdr:rowOff>
    </xdr:from>
    <xdr:ext cx="190741" cy="277274"/>
    <xdr:sp macro="" textlink="">
      <xdr:nvSpPr>
        <xdr:cNvPr id="12" name="TextBox 1"/>
        <xdr:cNvSpPr txBox="1"/>
      </xdr:nvSpPr>
      <xdr:spPr>
        <a:xfrm>
          <a:off x="9629775" y="0"/>
          <a:ext cx="190500" cy="276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/>
        </a:p>
      </xdr:txBody>
    </xdr:sp>
    <xdr:clientData/>
  </xdr:oneCellAnchor>
  <xdr:oneCellAnchor>
    <xdr:from>
      <xdr:col>10</xdr:col>
      <xdr:colOff>342900</xdr:colOff>
      <xdr:row>0</xdr:row>
      <xdr:rowOff>0</xdr:rowOff>
    </xdr:from>
    <xdr:ext cx="190741" cy="277274"/>
    <xdr:sp macro="" textlink="">
      <xdr:nvSpPr>
        <xdr:cNvPr id="13" name="TextBox 1"/>
        <xdr:cNvSpPr txBox="1"/>
      </xdr:nvSpPr>
      <xdr:spPr>
        <a:xfrm>
          <a:off x="9629775" y="0"/>
          <a:ext cx="190500" cy="276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/>
        </a:p>
      </xdr:txBody>
    </xdr:sp>
    <xdr:clientData/>
  </xdr:oneCellAnchor>
  <xdr:oneCellAnchor>
    <xdr:from>
      <xdr:col>10</xdr:col>
      <xdr:colOff>342900</xdr:colOff>
      <xdr:row>0</xdr:row>
      <xdr:rowOff>0</xdr:rowOff>
    </xdr:from>
    <xdr:ext cx="190741" cy="277274"/>
    <xdr:sp macro="" textlink="">
      <xdr:nvSpPr>
        <xdr:cNvPr id="14" name="TextBox 1"/>
        <xdr:cNvSpPr txBox="1"/>
      </xdr:nvSpPr>
      <xdr:spPr>
        <a:xfrm>
          <a:off x="9629775" y="0"/>
          <a:ext cx="190500" cy="276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/>
        </a:p>
      </xdr:txBody>
    </xdr:sp>
    <xdr:clientData/>
  </xdr:oneCellAnchor>
  <xdr:oneCellAnchor>
    <xdr:from>
      <xdr:col>10</xdr:col>
      <xdr:colOff>342900</xdr:colOff>
      <xdr:row>0</xdr:row>
      <xdr:rowOff>0</xdr:rowOff>
    </xdr:from>
    <xdr:ext cx="190741" cy="277274"/>
    <xdr:sp macro="" textlink="">
      <xdr:nvSpPr>
        <xdr:cNvPr id="15" name="TextBox 1"/>
        <xdr:cNvSpPr txBox="1"/>
      </xdr:nvSpPr>
      <xdr:spPr>
        <a:xfrm>
          <a:off x="9629775" y="0"/>
          <a:ext cx="190500" cy="276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/>
        </a:p>
      </xdr:txBody>
    </xdr:sp>
    <xdr:clientData/>
  </xdr:oneCellAnchor>
  <xdr:oneCellAnchor>
    <xdr:from>
      <xdr:col>10</xdr:col>
      <xdr:colOff>342900</xdr:colOff>
      <xdr:row>20</xdr:row>
      <xdr:rowOff>0</xdr:rowOff>
    </xdr:from>
    <xdr:ext cx="191086" cy="277306"/>
    <xdr:sp macro="" textlink="">
      <xdr:nvSpPr>
        <xdr:cNvPr id="16" name="TextBox 1"/>
        <xdr:cNvSpPr txBox="1"/>
      </xdr:nvSpPr>
      <xdr:spPr>
        <a:xfrm>
          <a:off x="9629775" y="5993765"/>
          <a:ext cx="190500" cy="276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/>
        </a:p>
      </xdr:txBody>
    </xdr:sp>
    <xdr:clientData/>
  </xdr:oneCellAnchor>
  <xdr:oneCellAnchor>
    <xdr:from>
      <xdr:col>10</xdr:col>
      <xdr:colOff>342900</xdr:colOff>
      <xdr:row>20</xdr:row>
      <xdr:rowOff>0</xdr:rowOff>
    </xdr:from>
    <xdr:ext cx="191086" cy="277306"/>
    <xdr:sp macro="" textlink="">
      <xdr:nvSpPr>
        <xdr:cNvPr id="17" name="TextBox 1"/>
        <xdr:cNvSpPr txBox="1"/>
      </xdr:nvSpPr>
      <xdr:spPr>
        <a:xfrm>
          <a:off x="9629775" y="5993765"/>
          <a:ext cx="190500" cy="276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/>
        </a:p>
      </xdr:txBody>
    </xdr:sp>
    <xdr:clientData/>
  </xdr:oneCellAnchor>
  <xdr:oneCellAnchor>
    <xdr:from>
      <xdr:col>10</xdr:col>
      <xdr:colOff>342900</xdr:colOff>
      <xdr:row>20</xdr:row>
      <xdr:rowOff>0</xdr:rowOff>
    </xdr:from>
    <xdr:ext cx="191086" cy="277306"/>
    <xdr:sp macro="" textlink="">
      <xdr:nvSpPr>
        <xdr:cNvPr id="18" name="TextBox 1"/>
        <xdr:cNvSpPr txBox="1"/>
      </xdr:nvSpPr>
      <xdr:spPr>
        <a:xfrm>
          <a:off x="9629775" y="5993765"/>
          <a:ext cx="190500" cy="276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/>
        </a:p>
      </xdr:txBody>
    </xdr:sp>
    <xdr:clientData/>
  </xdr:oneCellAnchor>
  <xdr:oneCellAnchor>
    <xdr:from>
      <xdr:col>10</xdr:col>
      <xdr:colOff>342900</xdr:colOff>
      <xdr:row>20</xdr:row>
      <xdr:rowOff>0</xdr:rowOff>
    </xdr:from>
    <xdr:ext cx="191086" cy="277306"/>
    <xdr:sp macro="" textlink="">
      <xdr:nvSpPr>
        <xdr:cNvPr id="19" name="TextBox 1"/>
        <xdr:cNvSpPr txBox="1"/>
      </xdr:nvSpPr>
      <xdr:spPr>
        <a:xfrm>
          <a:off x="9629775" y="5993765"/>
          <a:ext cx="190500" cy="276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/>
        </a:p>
      </xdr:txBody>
    </xdr:sp>
    <xdr:clientData/>
  </xdr:oneCellAnchor>
  <xdr:oneCellAnchor>
    <xdr:from>
      <xdr:col>10</xdr:col>
      <xdr:colOff>342900</xdr:colOff>
      <xdr:row>20</xdr:row>
      <xdr:rowOff>0</xdr:rowOff>
    </xdr:from>
    <xdr:ext cx="191086" cy="277306"/>
    <xdr:sp macro="" textlink="">
      <xdr:nvSpPr>
        <xdr:cNvPr id="20" name="TextBox 1"/>
        <xdr:cNvSpPr txBox="1"/>
      </xdr:nvSpPr>
      <xdr:spPr>
        <a:xfrm>
          <a:off x="9629775" y="5993765"/>
          <a:ext cx="190500" cy="276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/>
        </a:p>
      </xdr:txBody>
    </xdr:sp>
    <xdr:clientData/>
  </xdr:oneCellAnchor>
  <xdr:oneCellAnchor>
    <xdr:from>
      <xdr:col>10</xdr:col>
      <xdr:colOff>342900</xdr:colOff>
      <xdr:row>20</xdr:row>
      <xdr:rowOff>0</xdr:rowOff>
    </xdr:from>
    <xdr:ext cx="191086" cy="277306"/>
    <xdr:sp macro="" textlink="">
      <xdr:nvSpPr>
        <xdr:cNvPr id="21" name="TextBox 1"/>
        <xdr:cNvSpPr txBox="1"/>
      </xdr:nvSpPr>
      <xdr:spPr>
        <a:xfrm>
          <a:off x="9629775" y="5993765"/>
          <a:ext cx="190500" cy="276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/>
        </a:p>
      </xdr:txBody>
    </xdr:sp>
    <xdr:clientData/>
  </xdr:oneCellAnchor>
  <xdr:oneCellAnchor>
    <xdr:from>
      <xdr:col>10</xdr:col>
      <xdr:colOff>342900</xdr:colOff>
      <xdr:row>20</xdr:row>
      <xdr:rowOff>0</xdr:rowOff>
    </xdr:from>
    <xdr:ext cx="191086" cy="277306"/>
    <xdr:sp macro="" textlink="">
      <xdr:nvSpPr>
        <xdr:cNvPr id="22" name="TextBox 1"/>
        <xdr:cNvSpPr txBox="1"/>
      </xdr:nvSpPr>
      <xdr:spPr>
        <a:xfrm>
          <a:off x="9629775" y="5993765"/>
          <a:ext cx="190500" cy="276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/>
        </a:p>
      </xdr:txBody>
    </xdr:sp>
    <xdr:clientData/>
  </xdr:oneCellAnchor>
  <xdr:oneCellAnchor>
    <xdr:from>
      <xdr:col>10</xdr:col>
      <xdr:colOff>352425</xdr:colOff>
      <xdr:row>20</xdr:row>
      <xdr:rowOff>0</xdr:rowOff>
    </xdr:from>
    <xdr:ext cx="191086" cy="276315"/>
    <xdr:sp macro="" textlink="">
      <xdr:nvSpPr>
        <xdr:cNvPr id="23" name="TextBox 1"/>
        <xdr:cNvSpPr txBox="1"/>
      </xdr:nvSpPr>
      <xdr:spPr>
        <a:xfrm>
          <a:off x="9639300" y="5993765"/>
          <a:ext cx="190500" cy="2762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/>
        </a:p>
      </xdr:txBody>
    </xdr:sp>
    <xdr:clientData/>
  </xdr:oneCellAnchor>
  <xdr:oneCellAnchor>
    <xdr:from>
      <xdr:col>10</xdr:col>
      <xdr:colOff>352425</xdr:colOff>
      <xdr:row>20</xdr:row>
      <xdr:rowOff>0</xdr:rowOff>
    </xdr:from>
    <xdr:ext cx="191086" cy="276315"/>
    <xdr:sp macro="" textlink="">
      <xdr:nvSpPr>
        <xdr:cNvPr id="24" name="TextBox 1"/>
        <xdr:cNvSpPr txBox="1"/>
      </xdr:nvSpPr>
      <xdr:spPr>
        <a:xfrm>
          <a:off x="9639300" y="5993765"/>
          <a:ext cx="190500" cy="2762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/>
        </a:p>
      </xdr:txBody>
    </xdr:sp>
    <xdr:clientData/>
  </xdr:oneCellAnchor>
  <xdr:oneCellAnchor>
    <xdr:from>
      <xdr:col>10</xdr:col>
      <xdr:colOff>352425</xdr:colOff>
      <xdr:row>20</xdr:row>
      <xdr:rowOff>0</xdr:rowOff>
    </xdr:from>
    <xdr:ext cx="191086" cy="276315"/>
    <xdr:sp macro="" textlink="">
      <xdr:nvSpPr>
        <xdr:cNvPr id="25" name="TextBox 1"/>
        <xdr:cNvSpPr txBox="1"/>
      </xdr:nvSpPr>
      <xdr:spPr>
        <a:xfrm>
          <a:off x="9639300" y="5993765"/>
          <a:ext cx="190500" cy="2762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/>
        </a:p>
      </xdr:txBody>
    </xdr:sp>
    <xdr:clientData/>
  </xdr:oneCellAnchor>
  <xdr:oneCellAnchor>
    <xdr:from>
      <xdr:col>10</xdr:col>
      <xdr:colOff>352425</xdr:colOff>
      <xdr:row>20</xdr:row>
      <xdr:rowOff>0</xdr:rowOff>
    </xdr:from>
    <xdr:ext cx="191086" cy="276315"/>
    <xdr:sp macro="" textlink="">
      <xdr:nvSpPr>
        <xdr:cNvPr id="26" name="TextBox 1"/>
        <xdr:cNvSpPr txBox="1"/>
      </xdr:nvSpPr>
      <xdr:spPr>
        <a:xfrm>
          <a:off x="9639300" y="5993765"/>
          <a:ext cx="190500" cy="2762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/>
        </a:p>
      </xdr:txBody>
    </xdr:sp>
    <xdr:clientData/>
  </xdr:oneCellAnchor>
  <xdr:oneCellAnchor>
    <xdr:from>
      <xdr:col>10</xdr:col>
      <xdr:colOff>352425</xdr:colOff>
      <xdr:row>20</xdr:row>
      <xdr:rowOff>0</xdr:rowOff>
    </xdr:from>
    <xdr:ext cx="191086" cy="276315"/>
    <xdr:sp macro="" textlink="">
      <xdr:nvSpPr>
        <xdr:cNvPr id="27" name="TextBox 1"/>
        <xdr:cNvSpPr txBox="1"/>
      </xdr:nvSpPr>
      <xdr:spPr>
        <a:xfrm>
          <a:off x="9639300" y="5993765"/>
          <a:ext cx="190500" cy="2762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topLeftCell="A10" workbookViewId="0">
      <selection activeCell="C18" sqref="C18"/>
    </sheetView>
  </sheetViews>
  <sheetFormatPr defaultColWidth="9" defaultRowHeight="39.950000000000003" customHeight="1"/>
  <cols>
    <col min="1" max="1" width="27.75" customWidth="1"/>
    <col min="2" max="2" width="12" customWidth="1"/>
    <col min="3" max="3" width="9" customWidth="1"/>
    <col min="4" max="4" width="8.875" customWidth="1"/>
    <col min="5" max="5" width="9.875" customWidth="1"/>
    <col min="6" max="6" width="10.875" customWidth="1"/>
    <col min="7" max="7" width="9.875" customWidth="1"/>
    <col min="8" max="8" width="9.375" customWidth="1"/>
    <col min="9" max="9" width="9.75" customWidth="1"/>
    <col min="10" max="10" width="6.75" customWidth="1"/>
    <col min="11" max="11" width="6.125" customWidth="1"/>
    <col min="12" max="12" width="10.375" customWidth="1"/>
    <col min="13" max="13" width="10.375"/>
  </cols>
  <sheetData>
    <row r="1" spans="1:11" ht="51" customHeight="1">
      <c r="A1" s="22" t="s">
        <v>15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19.5" customHeight="1">
      <c r="A2" s="18" t="s">
        <v>0</v>
      </c>
      <c r="B2" s="19" t="s">
        <v>1</v>
      </c>
      <c r="C2" s="20" t="s">
        <v>2</v>
      </c>
      <c r="D2" s="16" t="s">
        <v>3</v>
      </c>
      <c r="E2" s="20" t="s">
        <v>4</v>
      </c>
      <c r="F2" s="20"/>
      <c r="G2" s="20"/>
      <c r="H2" s="20"/>
      <c r="I2" s="20"/>
      <c r="J2" s="20"/>
      <c r="K2" s="20"/>
    </row>
    <row r="3" spans="1:11" ht="30.95" customHeight="1">
      <c r="A3" s="18"/>
      <c r="B3" s="19"/>
      <c r="C3" s="20"/>
      <c r="D3" s="20" t="s">
        <v>5</v>
      </c>
      <c r="E3" s="21" t="s">
        <v>6</v>
      </c>
      <c r="F3" s="21" t="s">
        <v>7</v>
      </c>
      <c r="G3" s="21"/>
      <c r="H3" s="21"/>
      <c r="I3" s="21"/>
      <c r="J3" s="21" t="s">
        <v>8</v>
      </c>
      <c r="K3" s="21"/>
    </row>
    <row r="4" spans="1:11" ht="25.5" customHeight="1">
      <c r="A4" s="18"/>
      <c r="B4" s="19"/>
      <c r="C4" s="20"/>
      <c r="D4" s="20"/>
      <c r="E4" s="21"/>
      <c r="F4" s="21" t="s">
        <v>9</v>
      </c>
      <c r="G4" s="21" t="s">
        <v>10</v>
      </c>
      <c r="H4" s="23" t="s">
        <v>11</v>
      </c>
      <c r="I4" s="21" t="s">
        <v>12</v>
      </c>
      <c r="J4" s="21"/>
      <c r="K4" s="21"/>
    </row>
    <row r="5" spans="1:11" ht="52.5" customHeight="1">
      <c r="A5" s="18"/>
      <c r="B5" s="19"/>
      <c r="C5" s="20"/>
      <c r="D5" s="20"/>
      <c r="E5" s="21"/>
      <c r="F5" s="21"/>
      <c r="G5" s="21"/>
      <c r="H5" s="24"/>
      <c r="I5" s="21"/>
      <c r="J5" s="1" t="s">
        <v>13</v>
      </c>
      <c r="K5" s="1" t="s">
        <v>14</v>
      </c>
    </row>
    <row r="6" spans="1:11" ht="37.5" customHeight="1">
      <c r="A6" s="25" t="s">
        <v>16</v>
      </c>
      <c r="B6" s="26" t="s">
        <v>17</v>
      </c>
      <c r="C6" s="27">
        <v>1000</v>
      </c>
      <c r="D6" s="27">
        <v>0</v>
      </c>
      <c r="E6" s="28">
        <f>SUM(F6,J6)</f>
        <v>133</v>
      </c>
      <c r="F6" s="29">
        <v>133</v>
      </c>
      <c r="G6" s="30">
        <v>107</v>
      </c>
      <c r="H6" s="31">
        <v>26</v>
      </c>
      <c r="I6" s="35">
        <v>0</v>
      </c>
      <c r="J6" s="27">
        <v>0</v>
      </c>
      <c r="K6" s="27">
        <v>0</v>
      </c>
    </row>
    <row r="7" spans="1:11" ht="36" customHeight="1">
      <c r="A7" s="25" t="s">
        <v>18</v>
      </c>
      <c r="B7" s="26" t="s">
        <v>19</v>
      </c>
      <c r="C7" s="27">
        <v>850</v>
      </c>
      <c r="D7" s="27">
        <v>0</v>
      </c>
      <c r="E7" s="28">
        <f>SUM(F7,J7)</f>
        <v>136</v>
      </c>
      <c r="F7" s="29">
        <v>136</v>
      </c>
      <c r="G7" s="30">
        <v>79.75</v>
      </c>
      <c r="H7" s="31">
        <v>56.25</v>
      </c>
      <c r="I7" s="35">
        <v>0</v>
      </c>
      <c r="J7" s="27">
        <v>0</v>
      </c>
      <c r="K7" s="27">
        <v>0</v>
      </c>
    </row>
    <row r="8" spans="1:11" ht="36.75" customHeight="1">
      <c r="A8" s="25" t="s">
        <v>20</v>
      </c>
      <c r="B8" s="26" t="s">
        <v>17</v>
      </c>
      <c r="C8" s="27">
        <v>3650</v>
      </c>
      <c r="D8" s="27">
        <v>0</v>
      </c>
      <c r="E8" s="28">
        <f>SUM(F8,J8)</f>
        <v>584</v>
      </c>
      <c r="F8" s="29">
        <v>584</v>
      </c>
      <c r="G8" s="30">
        <v>342.44</v>
      </c>
      <c r="H8" s="31">
        <v>241.56</v>
      </c>
      <c r="I8" s="27">
        <v>0</v>
      </c>
      <c r="J8" s="27">
        <v>0</v>
      </c>
      <c r="K8" s="27">
        <v>0</v>
      </c>
    </row>
    <row r="9" spans="1:11" ht="33" customHeight="1">
      <c r="A9" s="32" t="s">
        <v>21</v>
      </c>
      <c r="B9" s="26" t="s">
        <v>17</v>
      </c>
      <c r="C9" s="33">
        <v>3500</v>
      </c>
      <c r="D9" s="34">
        <v>2000</v>
      </c>
      <c r="E9" s="28">
        <v>560</v>
      </c>
      <c r="F9" s="29">
        <f>SUM(G9:I9)</f>
        <v>560</v>
      </c>
      <c r="G9" s="30">
        <v>328.37</v>
      </c>
      <c r="H9" s="31">
        <v>231.63</v>
      </c>
      <c r="I9" s="35">
        <v>0</v>
      </c>
      <c r="J9" s="27">
        <v>0</v>
      </c>
      <c r="K9" s="27">
        <v>0</v>
      </c>
    </row>
    <row r="10" spans="1:11" ht="33" customHeight="1">
      <c r="A10" s="32" t="s">
        <v>22</v>
      </c>
      <c r="B10" s="26" t="s">
        <v>26</v>
      </c>
      <c r="C10" s="33">
        <v>5800</v>
      </c>
      <c r="D10" s="34">
        <v>0</v>
      </c>
      <c r="E10" s="28">
        <v>777</v>
      </c>
      <c r="F10" s="29">
        <f>SUM(G10:I10)</f>
        <v>777</v>
      </c>
      <c r="G10" s="30">
        <v>621</v>
      </c>
      <c r="H10" s="31">
        <v>156</v>
      </c>
      <c r="I10" s="35">
        <v>0</v>
      </c>
      <c r="J10" s="27">
        <v>0</v>
      </c>
      <c r="K10" s="27">
        <v>0</v>
      </c>
    </row>
    <row r="11" spans="1:11" ht="33" customHeight="1">
      <c r="A11" s="32" t="s">
        <v>23</v>
      </c>
      <c r="B11" s="26" t="s">
        <v>27</v>
      </c>
      <c r="C11" s="33">
        <v>6200</v>
      </c>
      <c r="D11" s="34">
        <v>0</v>
      </c>
      <c r="E11" s="28">
        <v>992</v>
      </c>
      <c r="F11" s="29">
        <f t="shared" ref="F11:F12" si="0">SUM(G11:I11)</f>
        <v>992</v>
      </c>
      <c r="G11" s="30">
        <v>581.67999999999995</v>
      </c>
      <c r="H11" s="31">
        <v>410.32</v>
      </c>
      <c r="I11" s="35">
        <v>0</v>
      </c>
      <c r="J11" s="27">
        <v>0</v>
      </c>
      <c r="K11" s="27">
        <v>0</v>
      </c>
    </row>
    <row r="12" spans="1:11" ht="33" customHeight="1">
      <c r="A12" s="32" t="s">
        <v>24</v>
      </c>
      <c r="B12" s="26" t="s">
        <v>28</v>
      </c>
      <c r="C12" s="33">
        <v>4000</v>
      </c>
      <c r="D12" s="34">
        <v>0</v>
      </c>
      <c r="E12" s="28">
        <v>640</v>
      </c>
      <c r="F12" s="29">
        <f t="shared" si="0"/>
        <v>640</v>
      </c>
      <c r="G12" s="30">
        <v>375.28</v>
      </c>
      <c r="H12" s="31">
        <v>264.72000000000003</v>
      </c>
      <c r="I12" s="35">
        <v>0</v>
      </c>
      <c r="J12" s="27">
        <v>0</v>
      </c>
      <c r="K12" s="27">
        <v>0</v>
      </c>
    </row>
    <row r="13" spans="1:11" ht="33" customHeight="1">
      <c r="A13" s="32" t="s">
        <v>25</v>
      </c>
      <c r="B13" s="26" t="s">
        <v>29</v>
      </c>
      <c r="C13" s="33">
        <v>15000</v>
      </c>
      <c r="D13" s="34">
        <v>3000</v>
      </c>
      <c r="E13" s="28">
        <v>2400</v>
      </c>
      <c r="F13" s="29">
        <v>2400</v>
      </c>
      <c r="G13" s="36">
        <v>1407.2850000000001</v>
      </c>
      <c r="H13" s="31">
        <v>992.71500000000003</v>
      </c>
      <c r="I13" s="35">
        <v>0</v>
      </c>
      <c r="J13" s="27">
        <v>0</v>
      </c>
      <c r="K13" s="27">
        <v>0</v>
      </c>
    </row>
    <row r="14" spans="1:11" ht="33" customHeight="1">
      <c r="A14" s="32" t="s">
        <v>30</v>
      </c>
      <c r="B14" s="26" t="s">
        <v>37</v>
      </c>
      <c r="C14" s="33">
        <v>3100</v>
      </c>
      <c r="D14" s="34">
        <v>0</v>
      </c>
      <c r="E14" s="28">
        <v>496</v>
      </c>
      <c r="F14" s="29">
        <v>496</v>
      </c>
      <c r="G14" s="30">
        <f>C14*938.19/10000</f>
        <v>290.83890000000002</v>
      </c>
      <c r="H14" s="31">
        <f>C14*661.81/10000</f>
        <v>205.16109999999998</v>
      </c>
      <c r="I14" s="35">
        <v>0</v>
      </c>
      <c r="J14" s="27">
        <v>0</v>
      </c>
      <c r="K14" s="27">
        <v>0</v>
      </c>
    </row>
    <row r="15" spans="1:11" ht="33" customHeight="1">
      <c r="A15" s="32" t="s">
        <v>31</v>
      </c>
      <c r="B15" s="26" t="s">
        <v>38</v>
      </c>
      <c r="C15" s="33">
        <v>1900</v>
      </c>
      <c r="D15" s="34">
        <v>0</v>
      </c>
      <c r="E15" s="28">
        <v>304</v>
      </c>
      <c r="F15" s="29">
        <f>C15*0.16</f>
        <v>304</v>
      </c>
      <c r="G15" s="30">
        <f t="shared" ref="G15:G20" si="1">C15*938.19/10000</f>
        <v>178.2561</v>
      </c>
      <c r="H15" s="31">
        <f t="shared" ref="H15:H20" si="2">C15*661.81/10000</f>
        <v>125.7439</v>
      </c>
      <c r="I15" s="35">
        <v>0</v>
      </c>
      <c r="J15" s="27">
        <v>0</v>
      </c>
      <c r="K15" s="27">
        <v>0</v>
      </c>
    </row>
    <row r="16" spans="1:11" ht="33" customHeight="1">
      <c r="A16" s="32" t="s">
        <v>32</v>
      </c>
      <c r="B16" s="26" t="s">
        <v>39</v>
      </c>
      <c r="C16" s="33">
        <v>1800</v>
      </c>
      <c r="D16" s="34">
        <v>0</v>
      </c>
      <c r="E16" s="28">
        <v>288</v>
      </c>
      <c r="F16" s="29">
        <f t="shared" ref="F16:F20" si="3">C16*0.16</f>
        <v>288</v>
      </c>
      <c r="G16" s="30">
        <f t="shared" si="1"/>
        <v>168.8742</v>
      </c>
      <c r="H16" s="31">
        <f t="shared" si="2"/>
        <v>119.1258</v>
      </c>
      <c r="I16" s="35">
        <v>0</v>
      </c>
      <c r="J16" s="27">
        <v>0</v>
      </c>
      <c r="K16" s="27">
        <v>0</v>
      </c>
    </row>
    <row r="17" spans="1:12" ht="33" customHeight="1">
      <c r="A17" s="3" t="s">
        <v>33</v>
      </c>
      <c r="B17" s="5" t="s">
        <v>40</v>
      </c>
      <c r="C17" s="6">
        <v>5900</v>
      </c>
      <c r="D17" s="4">
        <v>0</v>
      </c>
      <c r="E17" s="14">
        <v>944</v>
      </c>
      <c r="F17" s="29">
        <f t="shared" si="3"/>
        <v>944</v>
      </c>
      <c r="G17" s="30">
        <f t="shared" si="1"/>
        <v>553.53210000000001</v>
      </c>
      <c r="H17" s="31">
        <f t="shared" si="2"/>
        <v>390.46789999999993</v>
      </c>
      <c r="I17" s="35">
        <v>0</v>
      </c>
      <c r="J17" s="27">
        <v>0</v>
      </c>
      <c r="K17" s="27">
        <v>0</v>
      </c>
    </row>
    <row r="18" spans="1:12" ht="33" customHeight="1">
      <c r="A18" s="3" t="s">
        <v>34</v>
      </c>
      <c r="B18" s="5" t="s">
        <v>41</v>
      </c>
      <c r="C18" s="6">
        <v>2900</v>
      </c>
      <c r="D18" s="4">
        <v>0</v>
      </c>
      <c r="E18" s="14">
        <v>464</v>
      </c>
      <c r="F18" s="29">
        <f t="shared" si="3"/>
        <v>464</v>
      </c>
      <c r="G18" s="30">
        <f t="shared" si="1"/>
        <v>272.07510000000002</v>
      </c>
      <c r="H18" s="31">
        <f t="shared" si="2"/>
        <v>191.92489999999998</v>
      </c>
      <c r="I18" s="35">
        <v>0</v>
      </c>
      <c r="J18" s="27">
        <v>0</v>
      </c>
      <c r="K18" s="27">
        <v>0</v>
      </c>
    </row>
    <row r="19" spans="1:12" ht="33" customHeight="1">
      <c r="A19" s="3" t="s">
        <v>35</v>
      </c>
      <c r="B19" s="5" t="s">
        <v>42</v>
      </c>
      <c r="C19" s="6">
        <v>1400</v>
      </c>
      <c r="D19" s="4">
        <v>0</v>
      </c>
      <c r="E19" s="14">
        <v>188</v>
      </c>
      <c r="F19" s="15">
        <v>188</v>
      </c>
      <c r="G19" s="2">
        <v>150</v>
      </c>
      <c r="H19" s="10">
        <v>38</v>
      </c>
      <c r="I19" s="35">
        <v>0</v>
      </c>
      <c r="J19" s="27">
        <v>0</v>
      </c>
      <c r="K19" s="27">
        <v>0</v>
      </c>
    </row>
    <row r="20" spans="1:12" ht="33" customHeight="1">
      <c r="A20" s="3" t="s">
        <v>36</v>
      </c>
      <c r="B20" s="5" t="s">
        <v>43</v>
      </c>
      <c r="C20" s="6">
        <v>2800</v>
      </c>
      <c r="D20" s="4">
        <v>0</v>
      </c>
      <c r="E20" s="14">
        <v>448</v>
      </c>
      <c r="F20" s="29">
        <f t="shared" si="3"/>
        <v>448</v>
      </c>
      <c r="G20" s="30">
        <f t="shared" si="1"/>
        <v>262.69319999999999</v>
      </c>
      <c r="H20" s="31">
        <f t="shared" si="2"/>
        <v>185.30679999999998</v>
      </c>
      <c r="I20" s="35">
        <v>0</v>
      </c>
      <c r="J20" s="27">
        <v>0</v>
      </c>
      <c r="K20" s="27">
        <v>0</v>
      </c>
    </row>
    <row r="21" spans="1:12" ht="33" customHeight="1">
      <c r="A21" s="17" t="s">
        <v>9</v>
      </c>
      <c r="B21" s="17"/>
      <c r="C21" s="7">
        <f>SUM(C6:C20)</f>
        <v>59800</v>
      </c>
      <c r="D21" s="7">
        <f>SUM(D6:D20)</f>
        <v>5000</v>
      </c>
      <c r="E21" s="8">
        <f>SUM(E6:E20)</f>
        <v>9354</v>
      </c>
      <c r="F21" s="8">
        <f>SUM(F6:F20)</f>
        <v>9354</v>
      </c>
      <c r="G21" s="8">
        <f>SUM(G6:G20)</f>
        <v>5719.074599999999</v>
      </c>
      <c r="H21" s="8">
        <f>SUM(H6:H20)</f>
        <v>3634.9253999999996</v>
      </c>
      <c r="I21" s="35">
        <v>0</v>
      </c>
      <c r="J21" s="27">
        <v>0</v>
      </c>
      <c r="K21" s="27">
        <v>0</v>
      </c>
    </row>
    <row r="22" spans="1:12" ht="33" customHeight="1">
      <c r="E22" s="9"/>
      <c r="G22" s="9"/>
      <c r="H22" s="9"/>
      <c r="L22" s="11"/>
    </row>
    <row r="23" spans="1:12" ht="33" customHeight="1">
      <c r="I23" s="12"/>
      <c r="L23" s="11"/>
    </row>
    <row r="24" spans="1:12" ht="33" customHeight="1">
      <c r="L24" s="11"/>
    </row>
    <row r="25" spans="1:12" ht="33" customHeight="1">
      <c r="L25" s="11"/>
    </row>
    <row r="26" spans="1:12" ht="39.950000000000003" customHeight="1">
      <c r="L26" s="13"/>
    </row>
  </sheetData>
  <mergeCells count="14">
    <mergeCell ref="J3:K4"/>
    <mergeCell ref="A1:K1"/>
    <mergeCell ref="E2:K2"/>
    <mergeCell ref="F3:I3"/>
    <mergeCell ref="E3:E5"/>
    <mergeCell ref="F4:F5"/>
    <mergeCell ref="G4:G5"/>
    <mergeCell ref="H4:H5"/>
    <mergeCell ref="I4:I5"/>
    <mergeCell ref="A21:B21"/>
    <mergeCell ref="A2:A5"/>
    <mergeCell ref="B2:B5"/>
    <mergeCell ref="C2:C5"/>
    <mergeCell ref="D3:D5"/>
  </mergeCells>
  <phoneticPr fontId="6" type="noConversion"/>
  <printOptions horizontalCentered="1" verticalCentered="1"/>
  <pageMargins left="0.196850393700787" right="0.15748031496063" top="0.39370078740157499" bottom="0.196850393700787" header="0.511811023622047" footer="0.511811023622047"/>
  <pageSetup paperSize="9" orientation="landscape"/>
  <headerFooter scaleWithDoc="0" alignWithMargins="0">
    <oddHeader>&amp;L&amp;14附件：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I29" sqref="I29"/>
    </sheetView>
  </sheetViews>
  <sheetFormatPr defaultColWidth="9" defaultRowHeight="14.25"/>
  <sheetData/>
  <phoneticPr fontId="6" type="noConversion"/>
  <pageMargins left="0.75" right="0.75" top="1" bottom="1" header="0.5" footer="0.5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第三批</vt:lpstr>
      <vt:lpstr>Sheet3</vt:lpstr>
      <vt:lpstr>第三批!Print_Area</vt:lpstr>
      <vt:lpstr>第三批!Print_Titles</vt:lpstr>
    </vt:vector>
  </TitlesOfParts>
  <Company>MC SYSTEM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 SYSTEM</dc:creator>
  <cp:lastModifiedBy>PC</cp:lastModifiedBy>
  <cp:lastPrinted>2020-08-25T07:13:00Z</cp:lastPrinted>
  <dcterms:created xsi:type="dcterms:W3CDTF">2017-08-02T02:41:00Z</dcterms:created>
  <dcterms:modified xsi:type="dcterms:W3CDTF">2022-05-07T01:04:41Z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511285F27DF54FB99593D19293519160</vt:lpwstr>
  </property>
</Properties>
</file>