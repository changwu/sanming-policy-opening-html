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14385" yWindow="165" windowWidth="14430" windowHeight="11805" tabRatio="784" activeTab="4"/>
  </bookViews>
  <sheets>
    <sheet name="封面" sheetId="164" r:id="rId1"/>
    <sheet name="附表1-1" sheetId="19" r:id="rId2"/>
    <sheet name="附表1-2" sheetId="21" r:id="rId3"/>
    <sheet name="附表1-3" sheetId="165" r:id="rId4"/>
    <sheet name="附表1-4" sheetId="22" r:id="rId5"/>
    <sheet name="附表1-5" sheetId="23" r:id="rId6"/>
    <sheet name="附表1-6" sheetId="24" r:id="rId7"/>
    <sheet name="附表1-7" sheetId="168" r:id="rId8"/>
    <sheet name="附表1-8" sheetId="169" r:id="rId9"/>
    <sheet name="附表1-9" sheetId="25" r:id="rId10"/>
    <sheet name="附表1-10" sheetId="26" r:id="rId11"/>
    <sheet name="附表1-11" sheetId="27" r:id="rId12"/>
    <sheet name="附表1-12" sheetId="166" r:id="rId13"/>
    <sheet name="附表1-13" sheetId="29" r:id="rId14"/>
    <sheet name="附表1-14" sheetId="28" r:id="rId15"/>
    <sheet name="附表1-15" sheetId="30" r:id="rId16"/>
    <sheet name="附表1-16" sheetId="31" r:id="rId17"/>
    <sheet name="附表1-17" sheetId="32" r:id="rId18"/>
    <sheet name="附表1-18" sheetId="33" r:id="rId19"/>
    <sheet name="附表1-19" sheetId="34" r:id="rId20"/>
    <sheet name="附表1-20" sheetId="35" r:id="rId21"/>
    <sheet name="附表1-21" sheetId="36" r:id="rId22"/>
    <sheet name="附表1-22" sheetId="37" r:id="rId23"/>
    <sheet name="附表5-1" sheetId="170" r:id="rId24"/>
    <sheet name="附表5-2" sheetId="171" r:id="rId25"/>
    <sheet name="附表5-3" sheetId="172" r:id="rId26"/>
    <sheet name="附表5-4" sheetId="173" r:id="rId27"/>
    <sheet name="附表5-5" sheetId="174" r:id="rId28"/>
  </sheets>
  <externalReferences>
    <externalReference r:id="rId29"/>
    <externalReference r:id="rId30"/>
  </externalReferences>
  <definedNames>
    <definedName name="_xlnm._FilterDatabase" localSheetId="4" hidden="1">'附表1-4'!$A$6:$L$367</definedName>
    <definedName name="_xlnm._FilterDatabase" localSheetId="6" hidden="1">'附表1-6'!$A$4:$G$80</definedName>
    <definedName name="_Order1" hidden="1">255</definedName>
    <definedName name="_Order2" hidden="1">255</definedName>
    <definedName name="_xlnm.Database" localSheetId="12">#REF!</definedName>
    <definedName name="_xlnm.Database" localSheetId="3">#REF!</definedName>
    <definedName name="_xlnm.Database" localSheetId="7">#REF!</definedName>
    <definedName name="_xlnm.Database" localSheetId="23">#REF!</definedName>
    <definedName name="_xlnm.Database" localSheetId="25">#REF!</definedName>
    <definedName name="_xlnm.Database" localSheetId="27">#REF!</definedName>
    <definedName name="_xlnm.Database">#REF!</definedName>
    <definedName name="database2" localSheetId="12">#REF!</definedName>
    <definedName name="database2" localSheetId="3">#REF!</definedName>
    <definedName name="database2" localSheetId="7">#REF!</definedName>
    <definedName name="database2" localSheetId="23">#REF!</definedName>
    <definedName name="database2" localSheetId="25">#REF!</definedName>
    <definedName name="database2" localSheetId="27">#REF!</definedName>
    <definedName name="database2">#REF!</definedName>
    <definedName name="database3" localSheetId="12">#REF!</definedName>
    <definedName name="database3" localSheetId="3">#REF!</definedName>
    <definedName name="database3" localSheetId="7">#REF!</definedName>
    <definedName name="database3" localSheetId="23">#REF!</definedName>
    <definedName name="database3" localSheetId="25">#REF!</definedName>
    <definedName name="database3" localSheetId="27">#REF!</definedName>
    <definedName name="database3">#REF!</definedName>
    <definedName name="gxxe2003">[1]P1012001!$A$6:$E$117</definedName>
    <definedName name="hhhh" localSheetId="12">#REF!</definedName>
    <definedName name="hhhh" localSheetId="3">#REF!</definedName>
    <definedName name="hhhh" localSheetId="7">#REF!</definedName>
    <definedName name="hhhh" localSheetId="23">#REF!</definedName>
    <definedName name="hhhh" localSheetId="25">#REF!</definedName>
    <definedName name="hhhh" localSheetId="27">#REF!</definedName>
    <definedName name="hhhh">#REF!</definedName>
    <definedName name="kkkk" localSheetId="12">#REF!</definedName>
    <definedName name="kkkk" localSheetId="3">#REF!</definedName>
    <definedName name="kkkk" localSheetId="7">#REF!</definedName>
    <definedName name="kkkk" localSheetId="23">#REF!</definedName>
    <definedName name="kkkk" localSheetId="25">#REF!</definedName>
    <definedName name="kkkk" localSheetId="27">#REF!</definedName>
    <definedName name="kkkk">#REF!</definedName>
    <definedName name="_xlnm.Print_Area" localSheetId="0">封面!$A$1:$B$31</definedName>
    <definedName name="_xlnm.Print_Area" localSheetId="23">'附表5-1'!$A$1:$C$15</definedName>
    <definedName name="_xlnm.Print_Titles" localSheetId="1">'附表1-1'!$1:$4</definedName>
    <definedName name="_xlnm.Print_Titles" localSheetId="10">'附表1-10'!$1:$4</definedName>
    <definedName name="_xlnm.Print_Titles" localSheetId="11">'附表1-11'!$1:$4</definedName>
    <definedName name="_xlnm.Print_Titles" localSheetId="12">'附表1-12'!$1:$4</definedName>
    <definedName name="_xlnm.Print_Titles" localSheetId="13">'附表1-13'!$1:$4</definedName>
    <definedName name="_xlnm.Print_Titles" localSheetId="14">'附表1-14'!$1:$4</definedName>
    <definedName name="_xlnm.Print_Titles" localSheetId="15">'附表1-15'!$1:$4</definedName>
    <definedName name="_xlnm.Print_Titles" localSheetId="16">'附表1-16'!$1:$4</definedName>
    <definedName name="_xlnm.Print_Titles" localSheetId="17">'附表1-17'!$1:$4</definedName>
    <definedName name="_xlnm.Print_Titles" localSheetId="18">'附表1-18'!$1:$4</definedName>
    <definedName name="_xlnm.Print_Titles" localSheetId="19">'附表1-19'!$1:$4</definedName>
    <definedName name="_xlnm.Print_Titles" localSheetId="2">'附表1-2'!$1:$4</definedName>
    <definedName name="_xlnm.Print_Titles" localSheetId="20">'附表1-20'!$1:$4</definedName>
    <definedName name="_xlnm.Print_Titles" localSheetId="21">'附表1-21'!$1:$4</definedName>
    <definedName name="_xlnm.Print_Titles" localSheetId="22">'附表1-22'!$1:$4</definedName>
    <definedName name="_xlnm.Print_Titles" localSheetId="3">'附表1-3'!$1:$4</definedName>
    <definedName name="_xlnm.Print_Titles" localSheetId="4">'附表1-4'!$1:$5</definedName>
    <definedName name="_xlnm.Print_Titles" localSheetId="5">'附表1-5'!$1:$4</definedName>
    <definedName name="_xlnm.Print_Titles" localSheetId="6">'附表1-6'!$1:$4</definedName>
    <definedName name="_xlnm.Print_Titles" localSheetId="7">'附表1-7'!$1:$4</definedName>
    <definedName name="_xlnm.Print_Titles" localSheetId="9">'附表1-9'!$1:$4</definedName>
    <definedName name="_xlnm.Print_Titles">#N/A</definedName>
    <definedName name="UU" localSheetId="12">#REF!</definedName>
    <definedName name="UU" localSheetId="3">#REF!</definedName>
    <definedName name="UU" localSheetId="7">#REF!</definedName>
    <definedName name="UU" localSheetId="23">#REF!</definedName>
    <definedName name="UU" localSheetId="25">#REF!</definedName>
    <definedName name="UU" localSheetId="27">#REF!</definedName>
    <definedName name="UU">#REF!</definedName>
    <definedName name="YY" localSheetId="12">#REF!</definedName>
    <definedName name="YY" localSheetId="3">#REF!</definedName>
    <definedName name="YY" localSheetId="7">#REF!</definedName>
    <definedName name="YY" localSheetId="23">#REF!</definedName>
    <definedName name="YY" localSheetId="25">#REF!</definedName>
    <definedName name="YY" localSheetId="27">#REF!</definedName>
    <definedName name="YY">#REF!</definedName>
    <definedName name="地区名称" localSheetId="12">#REF!</definedName>
    <definedName name="地区名称" localSheetId="3">#REF!</definedName>
    <definedName name="地区名称" localSheetId="7">#REF!</definedName>
    <definedName name="地区名称" localSheetId="23">#REF!</definedName>
    <definedName name="地区名称" localSheetId="25">#REF!</definedName>
    <definedName name="地区名称" localSheetId="27">#REF!</definedName>
    <definedName name="地区名称">#REF!</definedName>
    <definedName name="福州" localSheetId="12">#REF!</definedName>
    <definedName name="福州" localSheetId="3">#REF!</definedName>
    <definedName name="福州" localSheetId="7">#REF!</definedName>
    <definedName name="福州" localSheetId="23">#REF!</definedName>
    <definedName name="福州" localSheetId="25">#REF!</definedName>
    <definedName name="福州" localSheetId="27">#REF!</definedName>
    <definedName name="福州">#REF!</definedName>
    <definedName name="汇率" localSheetId="12">#REF!</definedName>
    <definedName name="汇率" localSheetId="3">#REF!</definedName>
    <definedName name="汇率" localSheetId="7">#REF!</definedName>
    <definedName name="汇率" localSheetId="23">#REF!</definedName>
    <definedName name="汇率" localSheetId="25">#REF!</definedName>
    <definedName name="汇率" localSheetId="27">#REF!</definedName>
    <definedName name="汇率">#REF!</definedName>
    <definedName name="全额差额比例" localSheetId="12">'[2]C01-1'!#REF!</definedName>
    <definedName name="全额差额比例" localSheetId="3">'[2]C01-1'!#REF!</definedName>
    <definedName name="全额差额比例" localSheetId="7">'[2]C01-1'!#REF!</definedName>
    <definedName name="全额差额比例" localSheetId="8">'[2]C01-1'!#REF!</definedName>
    <definedName name="全额差额比例">'[2]C01-1'!#REF!</definedName>
    <definedName name="生产列1" localSheetId="12">#REF!</definedName>
    <definedName name="生产列1" localSheetId="3">#REF!</definedName>
    <definedName name="生产列1" localSheetId="7">#REF!</definedName>
    <definedName name="生产列1" localSheetId="23">#REF!</definedName>
    <definedName name="生产列1" localSheetId="25">#REF!</definedName>
    <definedName name="生产列1" localSheetId="27">#REF!</definedName>
    <definedName name="生产列1">#REF!</definedName>
    <definedName name="生产列11" localSheetId="12">#REF!</definedName>
    <definedName name="生产列11" localSheetId="3">#REF!</definedName>
    <definedName name="生产列11" localSheetId="7">#REF!</definedName>
    <definedName name="生产列11" localSheetId="23">#REF!</definedName>
    <definedName name="生产列11" localSheetId="25">#REF!</definedName>
    <definedName name="生产列11" localSheetId="27">#REF!</definedName>
    <definedName name="生产列11">#REF!</definedName>
    <definedName name="生产列15" localSheetId="12">#REF!</definedName>
    <definedName name="生产列15" localSheetId="3">#REF!</definedName>
    <definedName name="生产列15" localSheetId="7">#REF!</definedName>
    <definedName name="生产列15" localSheetId="23">#REF!</definedName>
    <definedName name="生产列15" localSheetId="25">#REF!</definedName>
    <definedName name="生产列15" localSheetId="27">#REF!</definedName>
    <definedName name="生产列15">#REF!</definedName>
    <definedName name="生产列16" localSheetId="12">#REF!</definedName>
    <definedName name="生产列16" localSheetId="3">#REF!</definedName>
    <definedName name="生产列16" localSheetId="7">#REF!</definedName>
    <definedName name="生产列16" localSheetId="23">#REF!</definedName>
    <definedName name="生产列16" localSheetId="25">#REF!</definedName>
    <definedName name="生产列16" localSheetId="27">#REF!</definedName>
    <definedName name="生产列16">#REF!</definedName>
    <definedName name="生产列17" localSheetId="12">#REF!</definedName>
    <definedName name="生产列17" localSheetId="3">#REF!</definedName>
    <definedName name="生产列17" localSheetId="7">#REF!</definedName>
    <definedName name="生产列17" localSheetId="23">#REF!</definedName>
    <definedName name="生产列17" localSheetId="25">#REF!</definedName>
    <definedName name="生产列17" localSheetId="27">#REF!</definedName>
    <definedName name="生产列17">#REF!</definedName>
    <definedName name="生产列19" localSheetId="12">#REF!</definedName>
    <definedName name="生产列19" localSheetId="3">#REF!</definedName>
    <definedName name="生产列19" localSheetId="7">#REF!</definedName>
    <definedName name="生产列19" localSheetId="23">#REF!</definedName>
    <definedName name="生产列19" localSheetId="25">#REF!</definedName>
    <definedName name="生产列19" localSheetId="27">#REF!</definedName>
    <definedName name="生产列19">#REF!</definedName>
    <definedName name="生产列2" localSheetId="12">#REF!</definedName>
    <definedName name="生产列2" localSheetId="3">#REF!</definedName>
    <definedName name="生产列2" localSheetId="7">#REF!</definedName>
    <definedName name="生产列2" localSheetId="23">#REF!</definedName>
    <definedName name="生产列2" localSheetId="25">#REF!</definedName>
    <definedName name="生产列2" localSheetId="27">#REF!</definedName>
    <definedName name="生产列2">#REF!</definedName>
    <definedName name="生产列20" localSheetId="12">#REF!</definedName>
    <definedName name="生产列20" localSheetId="3">#REF!</definedName>
    <definedName name="生产列20" localSheetId="7">#REF!</definedName>
    <definedName name="生产列20" localSheetId="23">#REF!</definedName>
    <definedName name="生产列20" localSheetId="25">#REF!</definedName>
    <definedName name="生产列20" localSheetId="27">#REF!</definedName>
    <definedName name="生产列20">#REF!</definedName>
    <definedName name="生产列3" localSheetId="12">#REF!</definedName>
    <definedName name="生产列3" localSheetId="3">#REF!</definedName>
    <definedName name="生产列3" localSheetId="7">#REF!</definedName>
    <definedName name="生产列3" localSheetId="23">#REF!</definedName>
    <definedName name="生产列3" localSheetId="25">#REF!</definedName>
    <definedName name="生产列3" localSheetId="27">#REF!</definedName>
    <definedName name="生产列3">#REF!</definedName>
    <definedName name="生产列4" localSheetId="12">#REF!</definedName>
    <definedName name="生产列4" localSheetId="3">#REF!</definedName>
    <definedName name="生产列4" localSheetId="7">#REF!</definedName>
    <definedName name="生产列4" localSheetId="23">#REF!</definedName>
    <definedName name="生产列4" localSheetId="25">#REF!</definedName>
    <definedName name="生产列4" localSheetId="27">#REF!</definedName>
    <definedName name="生产列4">#REF!</definedName>
    <definedName name="生产列5" localSheetId="12">#REF!</definedName>
    <definedName name="生产列5" localSheetId="3">#REF!</definedName>
    <definedName name="生产列5" localSheetId="7">#REF!</definedName>
    <definedName name="生产列5" localSheetId="23">#REF!</definedName>
    <definedName name="生产列5" localSheetId="25">#REF!</definedName>
    <definedName name="生产列5" localSheetId="27">#REF!</definedName>
    <definedName name="生产列5">#REF!</definedName>
    <definedName name="生产列6" localSheetId="12">#REF!</definedName>
    <definedName name="生产列6" localSheetId="3">#REF!</definedName>
    <definedName name="生产列6" localSheetId="7">#REF!</definedName>
    <definedName name="生产列6" localSheetId="23">#REF!</definedName>
    <definedName name="生产列6" localSheetId="25">#REF!</definedName>
    <definedName name="生产列6" localSheetId="27">#REF!</definedName>
    <definedName name="生产列6">#REF!</definedName>
    <definedName name="生产列7" localSheetId="12">#REF!</definedName>
    <definedName name="生产列7" localSheetId="3">#REF!</definedName>
    <definedName name="生产列7" localSheetId="7">#REF!</definedName>
    <definedName name="生产列7" localSheetId="23">#REF!</definedName>
    <definedName name="生产列7" localSheetId="25">#REF!</definedName>
    <definedName name="生产列7" localSheetId="27">#REF!</definedName>
    <definedName name="生产列7">#REF!</definedName>
    <definedName name="生产列8" localSheetId="12">#REF!</definedName>
    <definedName name="生产列8" localSheetId="3">#REF!</definedName>
    <definedName name="生产列8" localSheetId="7">#REF!</definedName>
    <definedName name="生产列8" localSheetId="23">#REF!</definedName>
    <definedName name="生产列8" localSheetId="25">#REF!</definedName>
    <definedName name="生产列8" localSheetId="27">#REF!</definedName>
    <definedName name="生产列8">#REF!</definedName>
    <definedName name="生产列9" localSheetId="12">#REF!</definedName>
    <definedName name="生产列9" localSheetId="3">#REF!</definedName>
    <definedName name="生产列9" localSheetId="7">#REF!</definedName>
    <definedName name="生产列9" localSheetId="23">#REF!</definedName>
    <definedName name="生产列9" localSheetId="25">#REF!</definedName>
    <definedName name="生产列9" localSheetId="27">#REF!</definedName>
    <definedName name="生产列9">#REF!</definedName>
    <definedName name="生产期" localSheetId="12">#REF!</definedName>
    <definedName name="生产期" localSheetId="3">#REF!</definedName>
    <definedName name="生产期" localSheetId="7">#REF!</definedName>
    <definedName name="生产期" localSheetId="23">#REF!</definedName>
    <definedName name="生产期" localSheetId="25">#REF!</definedName>
    <definedName name="生产期" localSheetId="27">#REF!</definedName>
    <definedName name="生产期">#REF!</definedName>
    <definedName name="生产期1" localSheetId="12">#REF!</definedName>
    <definedName name="生产期1" localSheetId="3">#REF!</definedName>
    <definedName name="生产期1" localSheetId="7">#REF!</definedName>
    <definedName name="生产期1" localSheetId="23">#REF!</definedName>
    <definedName name="生产期1" localSheetId="25">#REF!</definedName>
    <definedName name="生产期1" localSheetId="27">#REF!</definedName>
    <definedName name="生产期1">#REF!</definedName>
    <definedName name="生产期11" localSheetId="12">#REF!</definedName>
    <definedName name="生产期11" localSheetId="3">#REF!</definedName>
    <definedName name="生产期11" localSheetId="7">#REF!</definedName>
    <definedName name="生产期11" localSheetId="23">#REF!</definedName>
    <definedName name="生产期11" localSheetId="25">#REF!</definedName>
    <definedName name="生产期11" localSheetId="27">#REF!</definedName>
    <definedName name="生产期11">#REF!</definedName>
    <definedName name="生产期15" localSheetId="12">#REF!</definedName>
    <definedName name="生产期15" localSheetId="3">#REF!</definedName>
    <definedName name="生产期15" localSheetId="7">#REF!</definedName>
    <definedName name="生产期15" localSheetId="23">#REF!</definedName>
    <definedName name="生产期15" localSheetId="25">#REF!</definedName>
    <definedName name="生产期15" localSheetId="27">#REF!</definedName>
    <definedName name="生产期15">#REF!</definedName>
    <definedName name="生产期16" localSheetId="12">#REF!</definedName>
    <definedName name="生产期16" localSheetId="3">#REF!</definedName>
    <definedName name="生产期16" localSheetId="7">#REF!</definedName>
    <definedName name="生产期16" localSheetId="23">#REF!</definedName>
    <definedName name="生产期16" localSheetId="25">#REF!</definedName>
    <definedName name="生产期16" localSheetId="27">#REF!</definedName>
    <definedName name="生产期16">#REF!</definedName>
    <definedName name="生产期17" localSheetId="12">#REF!</definedName>
    <definedName name="生产期17" localSheetId="3">#REF!</definedName>
    <definedName name="生产期17" localSheetId="7">#REF!</definedName>
    <definedName name="生产期17" localSheetId="23">#REF!</definedName>
    <definedName name="生产期17" localSheetId="25">#REF!</definedName>
    <definedName name="生产期17" localSheetId="27">#REF!</definedName>
    <definedName name="生产期17">#REF!</definedName>
    <definedName name="生产期19" localSheetId="12">#REF!</definedName>
    <definedName name="生产期19" localSheetId="3">#REF!</definedName>
    <definedName name="生产期19" localSheetId="7">#REF!</definedName>
    <definedName name="生产期19" localSheetId="23">#REF!</definedName>
    <definedName name="生产期19" localSheetId="25">#REF!</definedName>
    <definedName name="生产期19" localSheetId="27">#REF!</definedName>
    <definedName name="生产期19">#REF!</definedName>
    <definedName name="生产期2" localSheetId="12">#REF!</definedName>
    <definedName name="生产期2" localSheetId="3">#REF!</definedName>
    <definedName name="生产期2" localSheetId="7">#REF!</definedName>
    <definedName name="生产期2" localSheetId="23">#REF!</definedName>
    <definedName name="生产期2" localSheetId="25">#REF!</definedName>
    <definedName name="生产期2" localSheetId="27">#REF!</definedName>
    <definedName name="生产期2">#REF!</definedName>
    <definedName name="生产期20" localSheetId="12">#REF!</definedName>
    <definedName name="生产期20" localSheetId="3">#REF!</definedName>
    <definedName name="生产期20" localSheetId="7">#REF!</definedName>
    <definedName name="生产期20" localSheetId="23">#REF!</definedName>
    <definedName name="生产期20" localSheetId="25">#REF!</definedName>
    <definedName name="生产期20" localSheetId="27">#REF!</definedName>
    <definedName name="生产期20">#REF!</definedName>
    <definedName name="生产期3" localSheetId="12">#REF!</definedName>
    <definedName name="生产期3" localSheetId="3">#REF!</definedName>
    <definedName name="生产期3" localSheetId="7">#REF!</definedName>
    <definedName name="生产期3" localSheetId="23">#REF!</definedName>
    <definedName name="生产期3" localSheetId="25">#REF!</definedName>
    <definedName name="生产期3" localSheetId="27">#REF!</definedName>
    <definedName name="生产期3">#REF!</definedName>
    <definedName name="生产期4" localSheetId="12">#REF!</definedName>
    <definedName name="生产期4" localSheetId="3">#REF!</definedName>
    <definedName name="生产期4" localSheetId="7">#REF!</definedName>
    <definedName name="生产期4" localSheetId="23">#REF!</definedName>
    <definedName name="生产期4" localSheetId="25">#REF!</definedName>
    <definedName name="生产期4" localSheetId="27">#REF!</definedName>
    <definedName name="生产期4">#REF!</definedName>
    <definedName name="生产期5" localSheetId="12">#REF!</definedName>
    <definedName name="生产期5" localSheetId="3">#REF!</definedName>
    <definedName name="生产期5" localSheetId="7">#REF!</definedName>
    <definedName name="生产期5" localSheetId="23">#REF!</definedName>
    <definedName name="生产期5" localSheetId="25">#REF!</definedName>
    <definedName name="生产期5" localSheetId="27">#REF!</definedName>
    <definedName name="生产期5">#REF!</definedName>
    <definedName name="生产期6" localSheetId="12">#REF!</definedName>
    <definedName name="生产期6" localSheetId="3">#REF!</definedName>
    <definedName name="生产期6" localSheetId="7">#REF!</definedName>
    <definedName name="生产期6" localSheetId="23">#REF!</definedName>
    <definedName name="生产期6" localSheetId="25">#REF!</definedName>
    <definedName name="生产期6" localSheetId="27">#REF!</definedName>
    <definedName name="生产期6">#REF!</definedName>
    <definedName name="生产期7" localSheetId="12">#REF!</definedName>
    <definedName name="生产期7" localSheetId="3">#REF!</definedName>
    <definedName name="生产期7" localSheetId="7">#REF!</definedName>
    <definedName name="生产期7" localSheetId="23">#REF!</definedName>
    <definedName name="生产期7" localSheetId="25">#REF!</definedName>
    <definedName name="生产期7" localSheetId="27">#REF!</definedName>
    <definedName name="生产期7">#REF!</definedName>
    <definedName name="生产期8" localSheetId="12">#REF!</definedName>
    <definedName name="生产期8" localSheetId="3">#REF!</definedName>
    <definedName name="生产期8" localSheetId="7">#REF!</definedName>
    <definedName name="生产期8" localSheetId="23">#REF!</definedName>
    <definedName name="生产期8" localSheetId="25">#REF!</definedName>
    <definedName name="生产期8" localSheetId="27">#REF!</definedName>
    <definedName name="生产期8">#REF!</definedName>
    <definedName name="生产期9" localSheetId="12">#REF!</definedName>
    <definedName name="生产期9" localSheetId="3">#REF!</definedName>
    <definedName name="生产期9" localSheetId="7">#REF!</definedName>
    <definedName name="生产期9" localSheetId="23">#REF!</definedName>
    <definedName name="生产期9" localSheetId="25">#REF!</definedName>
    <definedName name="生产期9" localSheetId="27">#REF!</definedName>
    <definedName name="生产期9">#REF!</definedName>
    <definedName name="体制上解" localSheetId="12">#REF!</definedName>
    <definedName name="体制上解" localSheetId="3">#REF!</definedName>
    <definedName name="体制上解" localSheetId="7">#REF!</definedName>
    <definedName name="体制上解" localSheetId="23">#REF!</definedName>
    <definedName name="体制上解" localSheetId="25">#REF!</definedName>
    <definedName name="体制上解" localSheetId="27">#REF!</definedName>
    <definedName name="体制上解">#REF!</definedName>
  </definedNames>
  <calcPr calcId="144525" fullPrecision="0"/>
</workbook>
</file>

<file path=xl/calcChain.xml><?xml version="1.0" encoding="utf-8"?>
<calcChain xmlns="http://schemas.openxmlformats.org/spreadsheetml/2006/main">
  <c r="D359" i="22" l="1"/>
  <c r="C359" i="22"/>
  <c r="D357" i="22"/>
  <c r="C357" i="22"/>
  <c r="C25" i="21"/>
  <c r="B25" i="21"/>
  <c r="B18" i="174" l="1"/>
  <c r="B17" i="174"/>
  <c r="B16" i="174"/>
  <c r="B15" i="174"/>
  <c r="B14" i="174"/>
  <c r="B13" i="174"/>
  <c r="B12" i="174"/>
  <c r="B11" i="174"/>
  <c r="B10" i="174"/>
  <c r="B9" i="174"/>
  <c r="B8" i="174"/>
  <c r="E7" i="174"/>
  <c r="B7" i="174"/>
  <c r="B6" i="174" s="1"/>
  <c r="G6" i="174"/>
  <c r="F6" i="174"/>
  <c r="E6" i="174"/>
  <c r="D6" i="174"/>
  <c r="C6" i="174"/>
  <c r="D56" i="24" l="1"/>
  <c r="D55" i="24"/>
  <c r="B22" i="37" l="1"/>
  <c r="B23" i="36"/>
  <c r="B35" i="36"/>
  <c r="C10" i="32"/>
  <c r="B10" i="32"/>
  <c r="D20" i="29"/>
  <c r="C20" i="29"/>
  <c r="C12" i="27"/>
  <c r="B12" i="27"/>
  <c r="B13" i="27"/>
  <c r="B30" i="24" l="1"/>
  <c r="B5" i="23"/>
  <c r="D344" i="22"/>
  <c r="C344" i="22"/>
  <c r="D334" i="22"/>
  <c r="C334" i="22"/>
  <c r="E184" i="22"/>
  <c r="D16" i="169" l="1"/>
  <c r="D13" i="23" l="1"/>
  <c r="D14" i="23"/>
  <c r="D15" i="23"/>
  <c r="D16" i="23"/>
  <c r="D17" i="23"/>
  <c r="D18" i="23"/>
  <c r="D19" i="23"/>
  <c r="D20" i="23"/>
  <c r="C10" i="35" l="1"/>
  <c r="B10" i="35"/>
  <c r="B10" i="34"/>
  <c r="C10" i="34"/>
  <c r="D27" i="24" l="1"/>
  <c r="D29" i="24"/>
  <c r="D53" i="24"/>
  <c r="D54" i="24"/>
  <c r="C339" i="22"/>
  <c r="C320" i="22"/>
  <c r="C310" i="22"/>
  <c r="C303" i="22"/>
  <c r="C243" i="22"/>
  <c r="C204" i="22"/>
  <c r="E96" i="22"/>
  <c r="E88" i="22"/>
  <c r="E89" i="22"/>
  <c r="E90" i="22"/>
  <c r="E91" i="22"/>
  <c r="E92" i="22"/>
  <c r="E93" i="22"/>
  <c r="E78" i="22"/>
  <c r="E79" i="22"/>
  <c r="E73" i="22"/>
  <c r="E69" i="22"/>
  <c r="E37" i="22"/>
  <c r="E30" i="22"/>
  <c r="E24" i="22"/>
  <c r="E13" i="22"/>
  <c r="E7" i="22"/>
  <c r="E8" i="22"/>
  <c r="E9" i="22"/>
  <c r="E10" i="22"/>
  <c r="E12" i="22"/>
  <c r="E195" i="22"/>
  <c r="E196" i="22"/>
  <c r="C132" i="22"/>
  <c r="C117" i="22"/>
  <c r="C97" i="22"/>
  <c r="D87" i="22"/>
  <c r="C87" i="22"/>
  <c r="D361" i="22"/>
  <c r="D339" i="22"/>
  <c r="D324" i="22"/>
  <c r="D320" i="22"/>
  <c r="D310" i="22"/>
  <c r="D303" i="22"/>
  <c r="D289" i="22"/>
  <c r="D255" i="22"/>
  <c r="D243" i="22"/>
  <c r="D232" i="22"/>
  <c r="D204" i="22"/>
  <c r="D156" i="22"/>
  <c r="D132" i="22"/>
  <c r="D117" i="22"/>
  <c r="D97" i="22"/>
  <c r="D6" i="22"/>
  <c r="D16" i="165"/>
  <c r="D17" i="165"/>
  <c r="C324" i="22" l="1"/>
  <c r="C289" i="22"/>
  <c r="C255" i="22"/>
  <c r="C232" i="22"/>
  <c r="C156" i="22"/>
  <c r="C6" i="22"/>
  <c r="D13" i="166" l="1"/>
  <c r="C12" i="166"/>
  <c r="B12" i="166"/>
  <c r="D14" i="27"/>
  <c r="D15" i="27"/>
  <c r="C13" i="27"/>
  <c r="D13" i="27"/>
  <c r="C13" i="26"/>
  <c r="B13" i="26"/>
  <c r="D27" i="29"/>
  <c r="C27" i="29"/>
  <c r="D360" i="22"/>
  <c r="D366" i="22" s="1"/>
  <c r="C361" i="22"/>
  <c r="C360" i="22" s="1"/>
  <c r="C21" i="165"/>
  <c r="D33" i="165"/>
  <c r="D34" i="165"/>
  <c r="D35" i="165"/>
  <c r="D36" i="165"/>
  <c r="D37" i="165"/>
  <c r="C32" i="165"/>
  <c r="C31" i="165" s="1"/>
  <c r="B32" i="165"/>
  <c r="D30" i="21"/>
  <c r="C29" i="21"/>
  <c r="B29" i="21"/>
  <c r="C32" i="19"/>
  <c r="C31" i="19" s="1"/>
  <c r="B32" i="19"/>
  <c r="B31" i="19" s="1"/>
  <c r="C366" i="22" l="1"/>
  <c r="D12" i="166"/>
  <c r="D13" i="26"/>
  <c r="D32" i="165"/>
  <c r="B31" i="165"/>
  <c r="D29" i="21"/>
  <c r="D31" i="165" l="1"/>
  <c r="D7" i="24"/>
  <c r="D8" i="24"/>
  <c r="D9" i="24"/>
  <c r="D10" i="24"/>
  <c r="D12" i="24"/>
  <c r="D13" i="24"/>
  <c r="D14" i="24"/>
  <c r="D15" i="24"/>
  <c r="D16" i="24"/>
  <c r="D17" i="24"/>
  <c r="D18" i="24"/>
  <c r="D19" i="24"/>
  <c r="D20" i="24"/>
  <c r="D21" i="24"/>
  <c r="D23" i="24"/>
  <c r="D24" i="24"/>
  <c r="D25" i="24"/>
  <c r="D26" i="24"/>
  <c r="D28" i="24"/>
  <c r="D30" i="24"/>
  <c r="D31" i="24"/>
  <c r="D32" i="24"/>
  <c r="D33" i="24"/>
  <c r="D34" i="24"/>
  <c r="D35" i="24"/>
  <c r="D36" i="24"/>
  <c r="D38" i="24"/>
  <c r="D39" i="24"/>
  <c r="D40" i="24"/>
  <c r="D42" i="24"/>
  <c r="D43" i="24"/>
  <c r="D44" i="24"/>
  <c r="D45" i="24"/>
  <c r="D46" i="24"/>
  <c r="D47" i="24"/>
  <c r="D48" i="24"/>
  <c r="D49" i="24"/>
  <c r="D50" i="24"/>
  <c r="D52" i="24"/>
  <c r="D57" i="24"/>
  <c r="D58" i="24"/>
  <c r="D59" i="24"/>
  <c r="D60" i="24"/>
  <c r="D61" i="24"/>
  <c r="D62" i="24"/>
  <c r="D63" i="24"/>
  <c r="D64" i="24"/>
  <c r="D65" i="24"/>
  <c r="D66" i="24"/>
  <c r="D67" i="24"/>
  <c r="D68" i="24"/>
  <c r="D69" i="24"/>
  <c r="D70" i="24"/>
  <c r="D71" i="24"/>
  <c r="D72" i="24"/>
  <c r="D73" i="24"/>
  <c r="D74" i="24"/>
  <c r="D75" i="24"/>
  <c r="D76" i="24"/>
  <c r="D77" i="24"/>
  <c r="D78" i="24"/>
  <c r="D79" i="24"/>
  <c r="D80" i="24"/>
  <c r="D6" i="19"/>
  <c r="D7" i="19"/>
  <c r="D8" i="19"/>
  <c r="D9" i="19"/>
  <c r="D10" i="19"/>
  <c r="D11" i="19"/>
  <c r="D12" i="19"/>
  <c r="D13" i="19"/>
  <c r="D14" i="19"/>
  <c r="D15" i="19"/>
  <c r="D16" i="19"/>
  <c r="D17" i="19"/>
  <c r="D18" i="19"/>
  <c r="D19" i="19"/>
  <c r="D22" i="19"/>
  <c r="D23" i="19"/>
  <c r="D24" i="19"/>
  <c r="D25" i="19"/>
  <c r="D26" i="19"/>
  <c r="D27" i="19"/>
  <c r="D28" i="19"/>
  <c r="D29" i="19"/>
  <c r="D31" i="19"/>
  <c r="D32" i="19"/>
  <c r="D33" i="19"/>
  <c r="D34" i="19"/>
  <c r="D35" i="19"/>
  <c r="D36" i="19"/>
  <c r="D37" i="19"/>
  <c r="C5" i="19"/>
  <c r="B5" i="19"/>
  <c r="C21" i="19"/>
  <c r="B21" i="19"/>
  <c r="D27" i="37"/>
  <c r="D28" i="37"/>
  <c r="D14" i="37"/>
  <c r="D15" i="37"/>
  <c r="D16" i="37"/>
  <c r="D23" i="37"/>
  <c r="D24" i="37"/>
  <c r="D25" i="37"/>
  <c r="D18" i="37"/>
  <c r="D19" i="37"/>
  <c r="D20" i="37"/>
  <c r="D21" i="37"/>
  <c r="D6" i="37"/>
  <c r="D7" i="37"/>
  <c r="D8" i="37"/>
  <c r="D9" i="37"/>
  <c r="D12" i="37"/>
  <c r="C5" i="37"/>
  <c r="B5" i="37"/>
  <c r="C17" i="37"/>
  <c r="B17" i="37"/>
  <c r="B13" i="37"/>
  <c r="C26" i="37"/>
  <c r="B26" i="37"/>
  <c r="C22" i="37"/>
  <c r="C13" i="37"/>
  <c r="D30" i="36"/>
  <c r="D31" i="36"/>
  <c r="D32" i="36"/>
  <c r="D33" i="36"/>
  <c r="D34" i="36"/>
  <c r="D12" i="36"/>
  <c r="D13" i="36"/>
  <c r="D14" i="36"/>
  <c r="D15" i="36"/>
  <c r="D16" i="36"/>
  <c r="D24" i="36"/>
  <c r="D25" i="36"/>
  <c r="D26" i="36"/>
  <c r="D27" i="36"/>
  <c r="D28" i="36"/>
  <c r="D18" i="36"/>
  <c r="D19" i="36"/>
  <c r="D20" i="36"/>
  <c r="D21" i="36"/>
  <c r="D22" i="36"/>
  <c r="D6" i="36"/>
  <c r="D7" i="36"/>
  <c r="D8" i="36"/>
  <c r="D9" i="36"/>
  <c r="D10" i="36"/>
  <c r="C5" i="36"/>
  <c r="B5" i="36"/>
  <c r="B17" i="36"/>
  <c r="C23" i="36"/>
  <c r="C11" i="36"/>
  <c r="B11" i="36"/>
  <c r="C29" i="36"/>
  <c r="C17" i="36" s="1"/>
  <c r="B29" i="36"/>
  <c r="D5" i="35"/>
  <c r="D9" i="35"/>
  <c r="D6" i="35"/>
  <c r="D8" i="35"/>
  <c r="D7" i="35"/>
  <c r="D9" i="34"/>
  <c r="D6" i="34"/>
  <c r="D8" i="34"/>
  <c r="D7" i="34"/>
  <c r="D5" i="34"/>
  <c r="D13" i="37" l="1"/>
  <c r="B29" i="37"/>
  <c r="C29" i="37"/>
  <c r="D22" i="37"/>
  <c r="D26" i="37"/>
  <c r="D5" i="37"/>
  <c r="D17" i="37"/>
  <c r="D17" i="36"/>
  <c r="D23" i="36"/>
  <c r="D5" i="36"/>
  <c r="D29" i="36"/>
  <c r="C35" i="36"/>
  <c r="D10" i="35"/>
  <c r="D10" i="34"/>
  <c r="D5" i="19"/>
  <c r="B30" i="19"/>
  <c r="B38" i="19" s="1"/>
  <c r="D21" i="19"/>
  <c r="C30" i="19"/>
  <c r="D11" i="36"/>
  <c r="D29" i="37" l="1"/>
  <c r="D35" i="36"/>
  <c r="D30" i="19"/>
  <c r="C38" i="19"/>
  <c r="D38" i="19" s="1"/>
  <c r="D6" i="33"/>
  <c r="D7" i="33"/>
  <c r="D8" i="33"/>
  <c r="D9" i="33"/>
  <c r="D10" i="33"/>
  <c r="D11" i="33"/>
  <c r="D12" i="33"/>
  <c r="D13" i="33"/>
  <c r="D14" i="33"/>
  <c r="D16" i="33"/>
  <c r="D17" i="33"/>
  <c r="D18" i="33"/>
  <c r="D19" i="33"/>
  <c r="D20" i="33"/>
  <c r="D21" i="33"/>
  <c r="D22" i="33"/>
  <c r="D23" i="33"/>
  <c r="D24" i="33"/>
  <c r="D25" i="33"/>
  <c r="D26" i="33"/>
  <c r="D27" i="33"/>
  <c r="D28" i="33"/>
  <c r="D29" i="33"/>
  <c r="D30" i="33"/>
  <c r="D32" i="33"/>
  <c r="D33" i="33"/>
  <c r="C26" i="33"/>
  <c r="B26" i="33"/>
  <c r="B24" i="33"/>
  <c r="C5" i="33"/>
  <c r="B5" i="33"/>
  <c r="C15" i="33"/>
  <c r="B15" i="33"/>
  <c r="D15" i="33" s="1"/>
  <c r="D7" i="32"/>
  <c r="D8" i="32"/>
  <c r="D9" i="32"/>
  <c r="D11" i="32"/>
  <c r="D12" i="32"/>
  <c r="D5" i="32"/>
  <c r="B31" i="33" l="1"/>
  <c r="B34" i="33" s="1"/>
  <c r="D5" i="33"/>
  <c r="C31" i="33"/>
  <c r="D6" i="32"/>
  <c r="C13" i="32"/>
  <c r="B13" i="32"/>
  <c r="D6" i="31"/>
  <c r="D7" i="31"/>
  <c r="D8" i="31"/>
  <c r="D9" i="31"/>
  <c r="D11" i="31"/>
  <c r="D12" i="31"/>
  <c r="D5" i="31"/>
  <c r="B10" i="31"/>
  <c r="B13" i="31" s="1"/>
  <c r="C10" i="31"/>
  <c r="D6" i="30"/>
  <c r="D7" i="30"/>
  <c r="D8" i="30"/>
  <c r="D9" i="30"/>
  <c r="D11" i="30"/>
  <c r="D12" i="30"/>
  <c r="D5" i="30"/>
  <c r="C10" i="30"/>
  <c r="B10" i="30"/>
  <c r="B13" i="30" s="1"/>
  <c r="E7" i="29"/>
  <c r="E9" i="29"/>
  <c r="E12" i="29"/>
  <c r="E13" i="29"/>
  <c r="E14" i="29"/>
  <c r="E16" i="29"/>
  <c r="E17" i="29"/>
  <c r="E18" i="29"/>
  <c r="E19" i="29"/>
  <c r="E22" i="29"/>
  <c r="E23" i="29"/>
  <c r="E24" i="29"/>
  <c r="E25" i="29"/>
  <c r="E27" i="29"/>
  <c r="E28" i="29"/>
  <c r="E29" i="29"/>
  <c r="D15" i="29"/>
  <c r="C15" i="29"/>
  <c r="D6" i="29"/>
  <c r="C6" i="29"/>
  <c r="D5" i="166"/>
  <c r="D6" i="166"/>
  <c r="D7" i="166"/>
  <c r="D8" i="166"/>
  <c r="D9" i="166"/>
  <c r="D10" i="166"/>
  <c r="C11" i="166"/>
  <c r="C14" i="166" s="1"/>
  <c r="B11" i="166"/>
  <c r="B14" i="166" s="1"/>
  <c r="D7" i="27"/>
  <c r="D8" i="27"/>
  <c r="D9" i="27"/>
  <c r="D10" i="27"/>
  <c r="D11" i="27"/>
  <c r="D6" i="27"/>
  <c r="C16" i="27"/>
  <c r="B16" i="27"/>
  <c r="C12" i="26"/>
  <c r="C15" i="26" s="1"/>
  <c r="B12" i="26"/>
  <c r="B15" i="26" s="1"/>
  <c r="D6" i="26"/>
  <c r="D7" i="26"/>
  <c r="D8" i="26"/>
  <c r="D9" i="26"/>
  <c r="D10" i="26"/>
  <c r="D11" i="26"/>
  <c r="D5" i="26"/>
  <c r="D31" i="33" l="1"/>
  <c r="C34" i="33"/>
  <c r="D34" i="33" s="1"/>
  <c r="D13" i="32"/>
  <c r="D10" i="32"/>
  <c r="D10" i="31"/>
  <c r="C13" i="31"/>
  <c r="D13" i="31" s="1"/>
  <c r="D10" i="30"/>
  <c r="C13" i="30"/>
  <c r="D13" i="30" s="1"/>
  <c r="E20" i="29"/>
  <c r="D14" i="166"/>
  <c r="D16" i="27"/>
  <c r="D12" i="27"/>
  <c r="D15" i="26"/>
  <c r="D12" i="26"/>
  <c r="E15" i="29"/>
  <c r="E6" i="29"/>
  <c r="C26" i="29"/>
  <c r="C30" i="29" s="1"/>
  <c r="D26" i="29"/>
  <c r="D11" i="166"/>
  <c r="E26" i="29" l="1"/>
  <c r="D30" i="29"/>
  <c r="E30" i="29" s="1"/>
  <c r="D6" i="25"/>
  <c r="D7" i="25"/>
  <c r="D9" i="25"/>
  <c r="D10" i="25"/>
  <c r="C8" i="25"/>
  <c r="B8" i="25"/>
  <c r="B5" i="25" s="1"/>
  <c r="C16" i="169"/>
  <c r="E16" i="169"/>
  <c r="B6" i="169"/>
  <c r="B7" i="169"/>
  <c r="B8" i="169"/>
  <c r="B9" i="169"/>
  <c r="B10" i="169"/>
  <c r="B11" i="169"/>
  <c r="B12" i="169"/>
  <c r="B13" i="169"/>
  <c r="B14" i="169"/>
  <c r="B15" i="169"/>
  <c r="B5" i="169"/>
  <c r="C5" i="25" l="1"/>
  <c r="D8" i="25"/>
  <c r="B16" i="169"/>
  <c r="D5" i="25" l="1"/>
  <c r="C51" i="24"/>
  <c r="B51" i="24"/>
  <c r="C41" i="24"/>
  <c r="C22" i="24"/>
  <c r="B41" i="24"/>
  <c r="C37" i="24"/>
  <c r="B37" i="24"/>
  <c r="C6" i="24"/>
  <c r="C11" i="24"/>
  <c r="B22" i="24"/>
  <c r="B11" i="24"/>
  <c r="B6" i="24"/>
  <c r="E6" i="22"/>
  <c r="E14" i="22"/>
  <c r="E15" i="22"/>
  <c r="E16" i="22"/>
  <c r="E18" i="22"/>
  <c r="E19" i="22"/>
  <c r="E20" i="22"/>
  <c r="E21" i="22"/>
  <c r="E22" i="22"/>
  <c r="E23" i="22"/>
  <c r="E25" i="22"/>
  <c r="E26" i="22"/>
  <c r="E27" i="22"/>
  <c r="E28" i="22"/>
  <c r="E29" i="22"/>
  <c r="E31" i="22"/>
  <c r="E32" i="22"/>
  <c r="E33" i="22"/>
  <c r="E34" i="22"/>
  <c r="E35" i="22"/>
  <c r="E36" i="22"/>
  <c r="E38" i="22"/>
  <c r="E39" i="22"/>
  <c r="E40" i="22"/>
  <c r="E41" i="22"/>
  <c r="E42" i="22"/>
  <c r="E43" i="22"/>
  <c r="E44" i="22"/>
  <c r="E46" i="22"/>
  <c r="E47" i="22"/>
  <c r="E48" i="22"/>
  <c r="E49" i="22"/>
  <c r="E50" i="22"/>
  <c r="E51" i="22"/>
  <c r="E52" i="22"/>
  <c r="E53" i="22"/>
  <c r="E55" i="22"/>
  <c r="E56" i="22"/>
  <c r="E57" i="22"/>
  <c r="E58" i="22"/>
  <c r="E59" i="22"/>
  <c r="E60" i="22"/>
  <c r="E61" i="22"/>
  <c r="E62" i="22"/>
  <c r="E63" i="22"/>
  <c r="E64" i="22"/>
  <c r="E66" i="22"/>
  <c r="E67" i="22"/>
  <c r="E68" i="22"/>
  <c r="E70" i="22"/>
  <c r="E72" i="22"/>
  <c r="E74" i="22"/>
  <c r="E76" i="22"/>
  <c r="E77" i="22"/>
  <c r="E80" i="22"/>
  <c r="E81" i="22"/>
  <c r="E82" i="22"/>
  <c r="E83" i="22"/>
  <c r="E84" i="22"/>
  <c r="E85" i="22"/>
  <c r="E86" i="22"/>
  <c r="E87" i="22"/>
  <c r="E94" i="22"/>
  <c r="E95" i="22"/>
  <c r="E97" i="22"/>
  <c r="E98" i="22"/>
  <c r="E99" i="22"/>
  <c r="E100" i="22"/>
  <c r="E101" i="22"/>
  <c r="E102" i="22"/>
  <c r="E103" i="22"/>
  <c r="E104" i="22"/>
  <c r="E105" i="22"/>
  <c r="E106" i="22"/>
  <c r="E107" i="22"/>
  <c r="E108" i="22"/>
  <c r="E109" i="22"/>
  <c r="E110" i="22"/>
  <c r="E111" i="22"/>
  <c r="E112" i="22"/>
  <c r="E113" i="22"/>
  <c r="E114" i="22"/>
  <c r="E115" i="22"/>
  <c r="E116" i="22"/>
  <c r="E117" i="22"/>
  <c r="E118" i="22"/>
  <c r="E119" i="22"/>
  <c r="E120" i="22"/>
  <c r="E121" i="22"/>
  <c r="E123" i="22"/>
  <c r="E124" i="22"/>
  <c r="E125" i="22"/>
  <c r="E126" i="22"/>
  <c r="E127" i="22"/>
  <c r="E128" i="22"/>
  <c r="E129" i="22"/>
  <c r="E130" i="22"/>
  <c r="E131" i="22"/>
  <c r="E132" i="22"/>
  <c r="E133" i="22"/>
  <c r="E134" i="22"/>
  <c r="E135" i="22"/>
  <c r="E136" i="22"/>
  <c r="E137" i="22"/>
  <c r="E138" i="22"/>
  <c r="E139" i="22"/>
  <c r="E140" i="22"/>
  <c r="E141" i="22"/>
  <c r="E142" i="22"/>
  <c r="E143" i="22"/>
  <c r="E144" i="22"/>
  <c r="E145" i="22"/>
  <c r="E146" i="22"/>
  <c r="E147" i="22"/>
  <c r="E148" i="22"/>
  <c r="E149" i="22"/>
  <c r="E150" i="22"/>
  <c r="E151" i="22"/>
  <c r="E152" i="22"/>
  <c r="E153" i="22"/>
  <c r="E155" i="22"/>
  <c r="E156" i="22"/>
  <c r="E157" i="22"/>
  <c r="E158" i="22"/>
  <c r="E160" i="22"/>
  <c r="E161" i="22"/>
  <c r="E162" i="22"/>
  <c r="E164" i="22"/>
  <c r="E165" i="22"/>
  <c r="E167" i="22"/>
  <c r="E168" i="22"/>
  <c r="E169" i="22"/>
  <c r="E170" i="22"/>
  <c r="E171" i="22"/>
  <c r="E172" i="22"/>
  <c r="E173" i="22"/>
  <c r="E175" i="22"/>
  <c r="E176" i="22"/>
  <c r="E179" i="22"/>
  <c r="E180" i="22"/>
  <c r="E181" i="22"/>
  <c r="E182" i="22"/>
  <c r="E183" i="22"/>
  <c r="E185" i="22"/>
  <c r="E186" i="22"/>
  <c r="E188" i="22"/>
  <c r="E189" i="22"/>
  <c r="E190" i="22"/>
  <c r="E191" i="22"/>
  <c r="E192" i="22"/>
  <c r="E193" i="22"/>
  <c r="E194" i="22"/>
  <c r="E197" i="22"/>
  <c r="E200" i="22"/>
  <c r="E202" i="22"/>
  <c r="E203" i="22"/>
  <c r="E204" i="22"/>
  <c r="E205" i="22"/>
  <c r="E206" i="22"/>
  <c r="E207" i="22"/>
  <c r="E208" i="22"/>
  <c r="E209" i="22"/>
  <c r="E211" i="22"/>
  <c r="E212" i="22"/>
  <c r="E213" i="22"/>
  <c r="E214" i="22"/>
  <c r="E215" i="22"/>
  <c r="E216" i="22"/>
  <c r="E217" i="22"/>
  <c r="E218" i="22"/>
  <c r="E219" i="22"/>
  <c r="E220" i="22"/>
  <c r="E221" i="22"/>
  <c r="E222" i="22"/>
  <c r="E223" i="22"/>
  <c r="E224" i="22"/>
  <c r="E226" i="22"/>
  <c r="E227" i="22"/>
  <c r="E228" i="22"/>
  <c r="E229" i="22"/>
  <c r="E231" i="22"/>
  <c r="E232" i="22"/>
  <c r="E233" i="22"/>
  <c r="E234" i="22"/>
  <c r="E235" i="22"/>
  <c r="E237" i="22"/>
  <c r="E238" i="22"/>
  <c r="E241" i="22"/>
  <c r="E242" i="22"/>
  <c r="E243" i="22"/>
  <c r="E244" i="22"/>
  <c r="E245" i="22"/>
  <c r="E246" i="22"/>
  <c r="E247" i="22"/>
  <c r="E248" i="22"/>
  <c r="E249" i="22"/>
  <c r="E250" i="22"/>
  <c r="E251" i="22"/>
  <c r="E253" i="22"/>
  <c r="E254" i="22"/>
  <c r="E255" i="22"/>
  <c r="E256" i="22"/>
  <c r="E257" i="22"/>
  <c r="E258" i="22"/>
  <c r="E259" i="22"/>
  <c r="E260" i="22"/>
  <c r="E265" i="22"/>
  <c r="E266" i="22"/>
  <c r="E267" i="22"/>
  <c r="E268" i="22"/>
  <c r="E269" i="22"/>
  <c r="E270" i="22"/>
  <c r="E271" i="22"/>
  <c r="E273" i="22"/>
  <c r="E274" i="22"/>
  <c r="E275" i="22"/>
  <c r="E276" i="22"/>
  <c r="E277" i="22"/>
  <c r="E279" i="22"/>
  <c r="E280" i="22"/>
  <c r="E281" i="22"/>
  <c r="E283" i="22"/>
  <c r="E284" i="22"/>
  <c r="E285" i="22"/>
  <c r="E286" i="22"/>
  <c r="E288" i="22"/>
  <c r="E289" i="22"/>
  <c r="E290" i="22"/>
  <c r="E291" i="22"/>
  <c r="E292" i="22"/>
  <c r="E294" i="22"/>
  <c r="E295" i="22"/>
  <c r="E296" i="22"/>
  <c r="E297" i="22"/>
  <c r="E300" i="22"/>
  <c r="E302" i="22"/>
  <c r="E303" i="22"/>
  <c r="E304" i="22"/>
  <c r="E305" i="22"/>
  <c r="E306" i="22"/>
  <c r="E308" i="22"/>
  <c r="E309" i="22"/>
  <c r="E310" i="22"/>
  <c r="E311" i="22"/>
  <c r="E312" i="22"/>
  <c r="E313" i="22"/>
  <c r="E314" i="22"/>
  <c r="E316" i="22"/>
  <c r="E317" i="22"/>
  <c r="E318" i="22"/>
  <c r="E319" i="22"/>
  <c r="E320" i="22"/>
  <c r="E321" i="22"/>
  <c r="E322" i="22"/>
  <c r="E323" i="22"/>
  <c r="E324" i="22"/>
  <c r="E325" i="22"/>
  <c r="E327" i="22"/>
  <c r="E331" i="22"/>
  <c r="E332" i="22"/>
  <c r="E333" i="22"/>
  <c r="E334" i="22"/>
  <c r="E336" i="22"/>
  <c r="E337" i="22"/>
  <c r="E338" i="22"/>
  <c r="E339" i="22"/>
  <c r="E340" i="22"/>
  <c r="E341" i="22"/>
  <c r="E342" i="22"/>
  <c r="E343" i="22"/>
  <c r="E344" i="22"/>
  <c r="E345" i="22"/>
  <c r="E347" i="22"/>
  <c r="E348" i="22"/>
  <c r="E349" i="22"/>
  <c r="E350" i="22"/>
  <c r="E351" i="22"/>
  <c r="E352" i="22"/>
  <c r="E353" i="22"/>
  <c r="E354" i="22"/>
  <c r="E356" i="22"/>
  <c r="E357" i="22"/>
  <c r="E358" i="22"/>
  <c r="E359" i="22"/>
  <c r="E154" i="22"/>
  <c r="E71" i="22"/>
  <c r="D7" i="23"/>
  <c r="D8" i="23"/>
  <c r="D9" i="23"/>
  <c r="D10" i="23"/>
  <c r="D11" i="23"/>
  <c r="D12" i="23"/>
  <c r="D6" i="23"/>
  <c r="E360" i="22"/>
  <c r="E361" i="22"/>
  <c r="E362" i="22"/>
  <c r="E363" i="22"/>
  <c r="E364" i="22"/>
  <c r="E365" i="22"/>
  <c r="E366" i="22"/>
  <c r="D5" i="23"/>
  <c r="D37" i="24" l="1"/>
  <c r="D51" i="24"/>
  <c r="D6" i="24"/>
  <c r="D11" i="24"/>
  <c r="B5" i="24"/>
  <c r="D22" i="24"/>
  <c r="D41" i="24"/>
  <c r="C5" i="24"/>
  <c r="D22" i="165"/>
  <c r="D23" i="165"/>
  <c r="D24" i="165"/>
  <c r="D26" i="165"/>
  <c r="D27" i="165"/>
  <c r="D28" i="165"/>
  <c r="D29" i="165"/>
  <c r="B21" i="165"/>
  <c r="D6" i="165"/>
  <c r="D7" i="165"/>
  <c r="D8" i="165"/>
  <c r="D9" i="165"/>
  <c r="D10" i="165"/>
  <c r="D11" i="165"/>
  <c r="D12" i="165"/>
  <c r="D13" i="165"/>
  <c r="D14" i="165"/>
  <c r="D15" i="165"/>
  <c r="D19" i="165"/>
  <c r="D6" i="21"/>
  <c r="D7" i="21"/>
  <c r="D8" i="21"/>
  <c r="D9" i="21"/>
  <c r="D10" i="21"/>
  <c r="D11" i="21"/>
  <c r="D12" i="21"/>
  <c r="D13" i="21"/>
  <c r="D14" i="21"/>
  <c r="D15" i="21"/>
  <c r="D16" i="21"/>
  <c r="D17" i="21"/>
  <c r="D18" i="21"/>
  <c r="D19" i="21"/>
  <c r="D20" i="21"/>
  <c r="D21" i="21"/>
  <c r="D22" i="21"/>
  <c r="D23" i="21"/>
  <c r="D24" i="21"/>
  <c r="D25" i="21"/>
  <c r="D26" i="21"/>
  <c r="D27" i="21"/>
  <c r="D5" i="21"/>
  <c r="C5" i="165"/>
  <c r="B5" i="165"/>
  <c r="D5" i="24" l="1"/>
  <c r="D5" i="165"/>
  <c r="B30" i="165"/>
  <c r="B38" i="165" s="1"/>
  <c r="C30" i="165"/>
  <c r="C38" i="165" s="1"/>
  <c r="D21" i="165"/>
  <c r="C28" i="21"/>
  <c r="C31" i="21" s="1"/>
  <c r="B28" i="21"/>
  <c r="D38" i="165" l="1"/>
  <c r="D28" i="21"/>
  <c r="B31" i="21"/>
  <c r="D31" i="21" s="1"/>
  <c r="D30" i="165"/>
</calcChain>
</file>

<file path=xl/sharedStrings.xml><?xml version="1.0" encoding="utf-8"?>
<sst xmlns="http://schemas.openxmlformats.org/spreadsheetml/2006/main" count="1127" uniqueCount="872">
  <si>
    <t>1、</t>
  </si>
  <si>
    <t>2、</t>
  </si>
  <si>
    <t>3、</t>
  </si>
  <si>
    <t>4、</t>
  </si>
  <si>
    <t>一、税收收入</t>
  </si>
  <si>
    <t>一、一般公共服务支出</t>
  </si>
  <si>
    <t>二、非税收入</t>
  </si>
  <si>
    <t>收入合计</t>
  </si>
  <si>
    <t>支出合计</t>
  </si>
  <si>
    <t>转移性支出</t>
  </si>
  <si>
    <t xml:space="preserve">    专项收入</t>
  </si>
  <si>
    <t xml:space="preserve">    行政事业性收费收入</t>
  </si>
  <si>
    <t xml:space="preserve">    罚没收入</t>
  </si>
  <si>
    <t xml:space="preserve">    国有资本经营收入</t>
  </si>
  <si>
    <t xml:space="preserve">    国有资源（资产）有偿使用收入</t>
  </si>
  <si>
    <t xml:space="preserve">    捐赠收入</t>
  </si>
  <si>
    <t xml:space="preserve">    政府住房基金收入</t>
  </si>
  <si>
    <t xml:space="preserve">    其他收入</t>
  </si>
  <si>
    <t>当年预算数</t>
    <phoneticPr fontId="37" type="noConversion"/>
  </si>
  <si>
    <t>单位：万元</t>
    <phoneticPr fontId="37" type="noConversion"/>
  </si>
  <si>
    <t xml:space="preserve">   上级补助收入</t>
    <phoneticPr fontId="37" type="noConversion"/>
  </si>
  <si>
    <t xml:space="preserve">   调入资金</t>
    <phoneticPr fontId="37" type="noConversion"/>
  </si>
  <si>
    <t xml:space="preserve">   补助下级支出</t>
    <phoneticPr fontId="37" type="noConversion"/>
  </si>
  <si>
    <t xml:space="preserve">      返还性支出</t>
    <phoneticPr fontId="37" type="noConversion"/>
  </si>
  <si>
    <t xml:space="preserve">      一般性转移支付支出</t>
    <phoneticPr fontId="37" type="noConversion"/>
  </si>
  <si>
    <t xml:space="preserve">      专项转移支付支出</t>
    <phoneticPr fontId="37" type="noConversion"/>
  </si>
  <si>
    <t>支出项目</t>
    <phoneticPr fontId="37" type="noConversion"/>
  </si>
  <si>
    <t>附表1-2</t>
    <phoneticPr fontId="37" type="noConversion"/>
  </si>
  <si>
    <t>单位：万元</t>
  </si>
  <si>
    <t>附表1-4</t>
    <phoneticPr fontId="37" type="noConversion"/>
  </si>
  <si>
    <t>项目</t>
  </si>
  <si>
    <t>合计</t>
  </si>
  <si>
    <t>合  计</t>
    <phoneticPr fontId="37" type="noConversion"/>
  </si>
  <si>
    <t>1、因公出国（境）费用</t>
  </si>
  <si>
    <t>2、公务接待费</t>
  </si>
  <si>
    <t xml:space="preserve">      （2）公务用车购置费</t>
    <phoneticPr fontId="66" type="noConversion"/>
  </si>
  <si>
    <t> 单位：万元</t>
  </si>
  <si>
    <t>转移性收入</t>
  </si>
  <si>
    <t>一、文化体育与传媒支出</t>
  </si>
  <si>
    <t>二、社会保障和就业支出</t>
  </si>
  <si>
    <t>三、节能环保支出</t>
  </si>
  <si>
    <t>四、城乡社区支出</t>
  </si>
  <si>
    <t>五、农林水支出</t>
  </si>
  <si>
    <t>六、交通运输支出</t>
  </si>
  <si>
    <t>七、资源勘探信息等支出</t>
  </si>
  <si>
    <t>八、商业服务业等支出</t>
  </si>
  <si>
    <t>九、其他支出</t>
  </si>
  <si>
    <t>十、债务付息支出</t>
  </si>
  <si>
    <t>十一、债务发行费用支出</t>
  </si>
  <si>
    <t>小计</t>
  </si>
  <si>
    <t>一、利润收入</t>
  </si>
  <si>
    <t>二、股利、股息收入</t>
  </si>
  <si>
    <t>三、产权转让收入</t>
  </si>
  <si>
    <t>四、清算收入</t>
  </si>
  <si>
    <t>一、解决历史遗留问题及改革成本支出</t>
  </si>
  <si>
    <t>二、国有企业资本金注入</t>
  </si>
  <si>
    <t>三、国有企业政策性补贴</t>
  </si>
  <si>
    <t>四、金融国有资本经营预算支出</t>
  </si>
  <si>
    <t xml:space="preserve">    调出资金</t>
  </si>
  <si>
    <t xml:space="preserve">          利息收入</t>
  </si>
  <si>
    <t xml:space="preserve">          财政补贴收入</t>
  </si>
  <si>
    <t xml:space="preserve">          其他收入</t>
  </si>
  <si>
    <t>合    计</t>
  </si>
  <si>
    <t xml:space="preserve">    其中：保险费收入</t>
  </si>
  <si>
    <t>项　目</t>
  </si>
  <si>
    <t>项      目</t>
  </si>
  <si>
    <t xml:space="preserve">          劳动能力鉴定支出</t>
    <phoneticPr fontId="37" type="noConversion"/>
  </si>
  <si>
    <t xml:space="preserve">          工伤预防费用支出</t>
    <phoneticPr fontId="37" type="noConversion"/>
  </si>
  <si>
    <t xml:space="preserve">          其他工伤保险基金支出</t>
    <phoneticPr fontId="37" type="noConversion"/>
  </si>
  <si>
    <t xml:space="preserve">          医疗保险费</t>
    <phoneticPr fontId="37" type="noConversion"/>
  </si>
  <si>
    <t xml:space="preserve">          其他失业保险基金支出</t>
    <phoneticPr fontId="37" type="noConversion"/>
  </si>
  <si>
    <t xml:space="preserve">    其中：基本养老金支出</t>
    <phoneticPr fontId="37" type="noConversion"/>
  </si>
  <si>
    <t xml:space="preserve">          其他机关事业单位基本养老保险基金支出</t>
    <phoneticPr fontId="37" type="noConversion"/>
  </si>
  <si>
    <t xml:space="preserve">    其中：保险费收入</t>
    <phoneticPr fontId="37" type="noConversion"/>
  </si>
  <si>
    <t xml:space="preserve">          财政补贴收入</t>
    <phoneticPr fontId="37" type="noConversion"/>
  </si>
  <si>
    <t xml:space="preserve">          利息收入</t>
    <phoneticPr fontId="37" type="noConversion"/>
  </si>
  <si>
    <t xml:space="preserve">          其他收入</t>
    <phoneticPr fontId="37" type="noConversion"/>
  </si>
  <si>
    <t xml:space="preserve">          动用上年结余收入</t>
  </si>
  <si>
    <t xml:space="preserve">          动用上年结余收入</t>
    <phoneticPr fontId="37" type="noConversion"/>
  </si>
  <si>
    <t xml:space="preserve">          丧葬抚恤补助</t>
    <phoneticPr fontId="37" type="noConversion"/>
  </si>
  <si>
    <t xml:space="preserve">    其中：失业保险金</t>
    <phoneticPr fontId="37" type="noConversion"/>
  </si>
  <si>
    <t>国有企业退休人员社会化管理补助支出</t>
  </si>
  <si>
    <t>国有企业棚户区改造支出</t>
  </si>
  <si>
    <t>国有企业改革成本支出</t>
  </si>
  <si>
    <t>离休干部医药补助支出</t>
  </si>
  <si>
    <t>其他解决历史遗留问题及改革成本支出</t>
  </si>
  <si>
    <t>公益性设施投资支出</t>
  </si>
  <si>
    <t>前瞻性战略性产业发展支出</t>
  </si>
  <si>
    <t>生态环境保护支出</t>
  </si>
  <si>
    <t>支持科技进步支出</t>
  </si>
  <si>
    <t>保障国有经济安全支出</t>
  </si>
  <si>
    <t>对外投资合作支出</t>
  </si>
  <si>
    <t>其他国有企业资本金注入</t>
  </si>
  <si>
    <t>一、解决历史遗留问题及改革成本支出</t>
    <phoneticPr fontId="37" type="noConversion"/>
  </si>
  <si>
    <t>二、国有企业资本金注入</t>
    <phoneticPr fontId="37" type="noConversion"/>
  </si>
  <si>
    <t>三、国有企业政策性补贴</t>
    <phoneticPr fontId="37" type="noConversion"/>
  </si>
  <si>
    <t>四、金融国有资本经营预算支出</t>
    <phoneticPr fontId="37" type="noConversion"/>
  </si>
  <si>
    <t>五、其他国有资本经营预算支出</t>
    <phoneticPr fontId="37" type="noConversion"/>
  </si>
  <si>
    <t>国有企业办公共服务机构移交补助支出</t>
    <phoneticPr fontId="37" type="noConversion"/>
  </si>
  <si>
    <t>国有企业办职教幼教补助支出</t>
    <phoneticPr fontId="37" type="noConversion"/>
  </si>
  <si>
    <t>“三供一业”移交补助支出</t>
    <phoneticPr fontId="37" type="noConversion"/>
  </si>
  <si>
    <t xml:space="preserve"> 其中：厂办大集体改革支出</t>
    <phoneticPr fontId="37" type="noConversion"/>
  </si>
  <si>
    <t xml:space="preserve"> 其中：国有经济结构调整支出</t>
    <phoneticPr fontId="37" type="noConversion"/>
  </si>
  <si>
    <t xml:space="preserve"> 其中：国有企业政策性补贴</t>
    <phoneticPr fontId="37" type="noConversion"/>
  </si>
  <si>
    <t xml:space="preserve"> 其中：资本性支出</t>
    <phoneticPr fontId="37" type="noConversion"/>
  </si>
  <si>
    <t xml:space="preserve">       改革性支出</t>
    <phoneticPr fontId="37" type="noConversion"/>
  </si>
  <si>
    <t xml:space="preserve">    国有资本经营预算转移支付支出</t>
  </si>
  <si>
    <t>五、其他国有资本经营预算收入</t>
    <phoneticPr fontId="37" type="noConversion"/>
  </si>
  <si>
    <t xml:space="preserve">    国有资本经营预算转移支付支出</t>
    <phoneticPr fontId="37" type="noConversion"/>
  </si>
  <si>
    <t xml:space="preserve">    国有资本经营预算转移支付收入</t>
    <phoneticPr fontId="37" type="noConversion"/>
  </si>
  <si>
    <t xml:space="preserve">    上年结转收入</t>
  </si>
  <si>
    <t xml:space="preserve">    上年结转收入</t>
    <phoneticPr fontId="37" type="noConversion"/>
  </si>
  <si>
    <t>当年预算数</t>
  </si>
  <si>
    <t>调出资金</t>
  </si>
  <si>
    <t>调出资金</t>
    <phoneticPr fontId="37" type="noConversion"/>
  </si>
  <si>
    <t xml:space="preserve">   上级补助收入</t>
    <phoneticPr fontId="37" type="noConversion"/>
  </si>
  <si>
    <t>上解上级支出</t>
  </si>
  <si>
    <t>上解上级支出</t>
    <phoneticPr fontId="37" type="noConversion"/>
  </si>
  <si>
    <t>收入项目</t>
    <phoneticPr fontId="37" type="noConversion"/>
  </si>
  <si>
    <t>一、税收返还</t>
  </si>
  <si>
    <t>二、一般性转移支付</t>
  </si>
  <si>
    <t>三、专项转移支付</t>
  </si>
  <si>
    <t>7.社会保障和就业支出</t>
  </si>
  <si>
    <t>1.一般公共服务支出</t>
  </si>
  <si>
    <t>附表1-1</t>
    <phoneticPr fontId="37" type="noConversion"/>
  </si>
  <si>
    <t>附表1-5</t>
    <phoneticPr fontId="37" type="noConversion"/>
  </si>
  <si>
    <t>附表1-6</t>
    <phoneticPr fontId="37" type="noConversion"/>
  </si>
  <si>
    <t>单位：万元</t>
    <phoneticPr fontId="37" type="noConversion"/>
  </si>
  <si>
    <t>项   目</t>
    <phoneticPr fontId="37" type="noConversion"/>
  </si>
  <si>
    <t>工资福利支出</t>
  </si>
  <si>
    <t>商品和服务支出</t>
  </si>
  <si>
    <t>其他资本性支出</t>
  </si>
  <si>
    <t>其他支出</t>
  </si>
  <si>
    <t>附表1-3</t>
    <phoneticPr fontId="37" type="noConversion"/>
  </si>
  <si>
    <t>其中：（1）公务用车运行费</t>
    <phoneticPr fontId="66" type="noConversion"/>
  </si>
  <si>
    <t>3、公务用车购置及运行费</t>
    <phoneticPr fontId="37" type="noConversion"/>
  </si>
  <si>
    <t xml:space="preserve">    国有资本经营预算转移支付收入</t>
    <phoneticPr fontId="37" type="noConversion"/>
  </si>
  <si>
    <t>五、其他国有资本经营预算收入</t>
    <phoneticPr fontId="37" type="noConversion"/>
  </si>
  <si>
    <t>当年预算数</t>
    <phoneticPr fontId="37" type="noConversion"/>
  </si>
  <si>
    <t>一、机关工资福利支出</t>
    <phoneticPr fontId="37" type="noConversion"/>
  </si>
  <si>
    <t>二、机关商品和服务支出</t>
    <phoneticPr fontId="37" type="noConversion"/>
  </si>
  <si>
    <t>三、机关资本性支出（一）</t>
    <phoneticPr fontId="37" type="noConversion"/>
  </si>
  <si>
    <t>四、机关资本性支出（二）</t>
    <phoneticPr fontId="37" type="noConversion"/>
  </si>
  <si>
    <t>五、对事业单位经常性补助</t>
    <phoneticPr fontId="37" type="noConversion"/>
  </si>
  <si>
    <t>六、对事业单位资本性补助</t>
    <phoneticPr fontId="37" type="noConversion"/>
  </si>
  <si>
    <t>七、对企业补助</t>
    <phoneticPr fontId="37" type="noConversion"/>
  </si>
  <si>
    <t>八、对企业资本性支出</t>
    <phoneticPr fontId="37" type="noConversion"/>
  </si>
  <si>
    <t>九、对个人和家庭的补助</t>
    <phoneticPr fontId="37" type="noConversion"/>
  </si>
  <si>
    <t>十、对社会保障基金补助</t>
    <phoneticPr fontId="37" type="noConversion"/>
  </si>
  <si>
    <t>十一、债务利息及费用支出</t>
    <phoneticPr fontId="37" type="noConversion"/>
  </si>
  <si>
    <t>十二、债务还本支出</t>
    <phoneticPr fontId="37" type="noConversion"/>
  </si>
  <si>
    <t>十三、转移性支出</t>
    <phoneticPr fontId="37" type="noConversion"/>
  </si>
  <si>
    <t>十四、预备费及预留</t>
    <phoneticPr fontId="37" type="noConversion"/>
  </si>
  <si>
    <t>十五、其他支出</t>
    <phoneticPr fontId="37" type="noConversion"/>
  </si>
  <si>
    <t>工资奖金津补贴</t>
  </si>
  <si>
    <t>社会保障缴费</t>
  </si>
  <si>
    <t>住房公积金</t>
  </si>
  <si>
    <t>其他工资福利支出</t>
  </si>
  <si>
    <t>办公经费</t>
  </si>
  <si>
    <t>会议费</t>
  </si>
  <si>
    <t>培训费</t>
  </si>
  <si>
    <t>专用材料购置费</t>
  </si>
  <si>
    <t>委托业务费</t>
  </si>
  <si>
    <t>公务接待费</t>
  </si>
  <si>
    <t>因公出国（境）费用</t>
  </si>
  <si>
    <t>公务用车运行维护费</t>
  </si>
  <si>
    <t>维修（护）费</t>
  </si>
  <si>
    <t>房屋建筑物购建</t>
  </si>
  <si>
    <t>基础设施建设</t>
  </si>
  <si>
    <t>公务用车购置</t>
  </si>
  <si>
    <t>土地征迁补偿和安置支出</t>
  </si>
  <si>
    <t>设备购置</t>
  </si>
  <si>
    <t>大型修缮</t>
  </si>
  <si>
    <t>其他对事业单位补助</t>
  </si>
  <si>
    <t>资本性支出（一）</t>
  </si>
  <si>
    <t>资本性支出（二）</t>
  </si>
  <si>
    <t>费用补贴</t>
  </si>
  <si>
    <t>利息补贴</t>
  </si>
  <si>
    <t>其他对企业补助</t>
  </si>
  <si>
    <t>对企业资本性支出（一）</t>
  </si>
  <si>
    <t>对企业资本性支出（二）</t>
  </si>
  <si>
    <t>社会福利和救助</t>
  </si>
  <si>
    <t>助学金</t>
  </si>
  <si>
    <t>个人农业生产补贴</t>
  </si>
  <si>
    <t>离退休费</t>
  </si>
  <si>
    <t>其他对个人和家庭补助</t>
  </si>
  <si>
    <t>对社会保险基金补助</t>
  </si>
  <si>
    <t>补充全国社会保障基金</t>
  </si>
  <si>
    <t>国内债务付息</t>
  </si>
  <si>
    <t>国外债务付息</t>
  </si>
  <si>
    <t>国内债务发行费用</t>
  </si>
  <si>
    <t>国外债务发行费用</t>
  </si>
  <si>
    <t>国内债务还本</t>
  </si>
  <si>
    <t>国外债务还本</t>
  </si>
  <si>
    <t>上下级政府间转移性支出</t>
  </si>
  <si>
    <t>援助其他地区支出</t>
  </si>
  <si>
    <t>债务转贷</t>
  </si>
  <si>
    <t>预备费</t>
  </si>
  <si>
    <t>预留</t>
  </si>
  <si>
    <t>赠与</t>
  </si>
  <si>
    <t>国家赔偿费用支出</t>
  </si>
  <si>
    <t>对民间非营利组织和群众性自治组织补贴</t>
  </si>
  <si>
    <t>其他商品和服务支出</t>
    <phoneticPr fontId="37" type="noConversion"/>
  </si>
  <si>
    <t>项   目</t>
    <phoneticPr fontId="37" type="noConversion"/>
  </si>
  <si>
    <t>合   计</t>
    <phoneticPr fontId="37" type="noConversion"/>
  </si>
  <si>
    <t>合  计</t>
    <phoneticPr fontId="37" type="noConversion"/>
  </si>
  <si>
    <t>5、</t>
    <phoneticPr fontId="37" type="noConversion"/>
  </si>
  <si>
    <t>6、</t>
    <phoneticPr fontId="37" type="noConversion"/>
  </si>
  <si>
    <t>7、</t>
    <phoneticPr fontId="37" type="noConversion"/>
  </si>
  <si>
    <t>8、</t>
    <phoneticPr fontId="37" type="noConversion"/>
  </si>
  <si>
    <t>11、</t>
    <phoneticPr fontId="37" type="noConversion"/>
  </si>
  <si>
    <t>12、</t>
    <phoneticPr fontId="37" type="noConversion"/>
  </si>
  <si>
    <t>13、</t>
    <phoneticPr fontId="37" type="noConversion"/>
  </si>
  <si>
    <t>14、</t>
    <phoneticPr fontId="37" type="noConversion"/>
  </si>
  <si>
    <t>15、</t>
    <phoneticPr fontId="37" type="noConversion"/>
  </si>
  <si>
    <t>16、</t>
    <phoneticPr fontId="37" type="noConversion"/>
  </si>
  <si>
    <t>17、</t>
    <phoneticPr fontId="37" type="noConversion"/>
  </si>
  <si>
    <t>18、</t>
    <phoneticPr fontId="37" type="noConversion"/>
  </si>
  <si>
    <t>19、</t>
    <phoneticPr fontId="37" type="noConversion"/>
  </si>
  <si>
    <t>20、</t>
    <phoneticPr fontId="37" type="noConversion"/>
  </si>
  <si>
    <t>21、</t>
    <phoneticPr fontId="37" type="noConversion"/>
  </si>
  <si>
    <t>22、</t>
    <phoneticPr fontId="37" type="noConversion"/>
  </si>
  <si>
    <t>1、</t>
    <phoneticPr fontId="37" type="noConversion"/>
  </si>
  <si>
    <t>2、</t>
    <phoneticPr fontId="37" type="noConversion"/>
  </si>
  <si>
    <t>3、</t>
    <phoneticPr fontId="37" type="noConversion"/>
  </si>
  <si>
    <t>4、</t>
    <phoneticPr fontId="37" type="noConversion"/>
  </si>
  <si>
    <t>七、对企业补助</t>
    <phoneticPr fontId="37" type="noConversion"/>
  </si>
  <si>
    <t>八、对企业资本性支出</t>
    <phoneticPr fontId="37" type="noConversion"/>
  </si>
  <si>
    <t>九、对个人和家庭的补助</t>
    <phoneticPr fontId="37" type="noConversion"/>
  </si>
  <si>
    <t>十一、债务利息及费用支出</t>
    <phoneticPr fontId="37" type="noConversion"/>
  </si>
  <si>
    <t>十三、转移性支出</t>
    <phoneticPr fontId="37" type="noConversion"/>
  </si>
  <si>
    <t>十四、预备费及预留</t>
    <phoneticPr fontId="37" type="noConversion"/>
  </si>
  <si>
    <t>十五、其他支出</t>
    <phoneticPr fontId="37" type="noConversion"/>
  </si>
  <si>
    <t xml:space="preserve">    返还性收入</t>
    <phoneticPr fontId="37" type="noConversion"/>
  </si>
  <si>
    <t xml:space="preserve">    一般性转移支付收入</t>
    <phoneticPr fontId="37" type="noConversion"/>
  </si>
  <si>
    <t xml:space="preserve">    专项转移支付收入</t>
    <phoneticPr fontId="37" type="noConversion"/>
  </si>
  <si>
    <t>收入小计</t>
    <phoneticPr fontId="37" type="noConversion"/>
  </si>
  <si>
    <t>收入合计</t>
    <phoneticPr fontId="37" type="noConversion"/>
  </si>
  <si>
    <t xml:space="preserve">   上解支出</t>
    <phoneticPr fontId="37" type="noConversion"/>
  </si>
  <si>
    <t>支出小计</t>
    <phoneticPr fontId="37" type="noConversion"/>
  </si>
  <si>
    <t>支出合计</t>
    <phoneticPr fontId="37" type="noConversion"/>
  </si>
  <si>
    <t>支出小计</t>
    <phoneticPr fontId="37" type="noConversion"/>
  </si>
  <si>
    <t>支出合计</t>
    <phoneticPr fontId="37" type="noConversion"/>
  </si>
  <si>
    <t xml:space="preserve">   上解支出</t>
    <phoneticPr fontId="37" type="noConversion"/>
  </si>
  <si>
    <t xml:space="preserve">      上级补助收入</t>
    <phoneticPr fontId="37" type="noConversion"/>
  </si>
  <si>
    <t>小计</t>
    <phoneticPr fontId="37" type="noConversion"/>
  </si>
  <si>
    <t>收入合计</t>
    <phoneticPr fontId="37" type="noConversion"/>
  </si>
  <si>
    <t>收入合计</t>
    <phoneticPr fontId="37" type="noConversion"/>
  </si>
  <si>
    <t xml:space="preserve">       其他金融国有资本经营预算支出</t>
    <phoneticPr fontId="37" type="noConversion"/>
  </si>
  <si>
    <t>支出小计</t>
    <phoneticPr fontId="37" type="noConversion"/>
  </si>
  <si>
    <t xml:space="preserve">    其中：职工基本医疗保险统筹基金</t>
    <phoneticPr fontId="37" type="noConversion"/>
  </si>
  <si>
    <t xml:space="preserve">          职工医疗保险个人账户基金</t>
    <phoneticPr fontId="37" type="noConversion"/>
  </si>
  <si>
    <t xml:space="preserve">          其他职工基本医疗保险基金支出</t>
    <phoneticPr fontId="37" type="noConversion"/>
  </si>
  <si>
    <t xml:space="preserve">    其中：城乡居民基本医疗保险基金医疗待遇支出</t>
    <phoneticPr fontId="37" type="noConversion"/>
  </si>
  <si>
    <t xml:space="preserve">          大病医疗保险支出</t>
    <phoneticPr fontId="37" type="noConversion"/>
  </si>
  <si>
    <t xml:space="preserve">          其他城乡居民基本医疗保险基金支出</t>
    <phoneticPr fontId="37" type="noConversion"/>
  </si>
  <si>
    <t xml:space="preserve">   调入预算稳定调节基金</t>
    <phoneticPr fontId="37" type="noConversion"/>
  </si>
  <si>
    <t>1.增值税和消费税税收返还支出</t>
  </si>
  <si>
    <t>2.所得税基数返还支出</t>
  </si>
  <si>
    <t>3.成品油税费改革税收返还支出</t>
  </si>
  <si>
    <t>1.体制补助支出</t>
  </si>
  <si>
    <t>3.革命老区及边疆地区转移支付支出</t>
  </si>
  <si>
    <t>4.县级基本财力保障机制奖补资金支出</t>
  </si>
  <si>
    <t>5.结算补助支出</t>
  </si>
  <si>
    <t>6.成品油税费改革转移支付补助支出</t>
  </si>
  <si>
    <t>7.基层公检法司转移支付支出</t>
  </si>
  <si>
    <t>8.城乡义务教育转移支付支出</t>
  </si>
  <si>
    <t>9.基本养老金转移支付支出</t>
  </si>
  <si>
    <t>10.新型农村合作医疗等转移支付支出</t>
  </si>
  <si>
    <t>11.农村综合改革转移支付支出</t>
  </si>
  <si>
    <t>12.产粮（油）大县奖励资金支出</t>
  </si>
  <si>
    <t>15.其他一般性转移支付支出</t>
  </si>
  <si>
    <t>本年收入小计</t>
    <phoneticPr fontId="37" type="noConversion"/>
  </si>
  <si>
    <t>本年支出小计</t>
    <phoneticPr fontId="37" type="noConversion"/>
  </si>
  <si>
    <t>本年支出合计</t>
    <phoneticPr fontId="37" type="noConversion"/>
  </si>
  <si>
    <t xml:space="preserve">   调入预算稳定调节基金</t>
    <phoneticPr fontId="37" type="noConversion"/>
  </si>
  <si>
    <t xml:space="preserve">    其中：工伤保险待遇支出</t>
    <phoneticPr fontId="37" type="noConversion"/>
  </si>
  <si>
    <t>附件1：</t>
    <phoneticPr fontId="37" type="noConversion"/>
  </si>
  <si>
    <t>地    区</t>
  </si>
  <si>
    <t>一般性转移支付</t>
  </si>
  <si>
    <t>专项转移支付</t>
  </si>
  <si>
    <t>附表1-22</t>
    <phoneticPr fontId="37" type="noConversion"/>
  </si>
  <si>
    <t>附表1-21</t>
    <phoneticPr fontId="37" type="noConversion"/>
  </si>
  <si>
    <t>附表1-20</t>
    <phoneticPr fontId="37" type="noConversion"/>
  </si>
  <si>
    <t>附表1-19</t>
    <phoneticPr fontId="37" type="noConversion"/>
  </si>
  <si>
    <t>附表1-18</t>
    <phoneticPr fontId="37" type="noConversion"/>
  </si>
  <si>
    <t>附表1-17</t>
    <phoneticPr fontId="37" type="noConversion"/>
  </si>
  <si>
    <t>附表1-16</t>
    <phoneticPr fontId="37" type="noConversion"/>
  </si>
  <si>
    <t>附表1-15</t>
    <phoneticPr fontId="37" type="noConversion"/>
  </si>
  <si>
    <t>附表1-14</t>
    <phoneticPr fontId="37" type="noConversion"/>
  </si>
  <si>
    <t>附表1-13</t>
    <phoneticPr fontId="37" type="noConversion"/>
  </si>
  <si>
    <t>附表1-12</t>
    <phoneticPr fontId="37" type="noConversion"/>
  </si>
  <si>
    <t>附表1-11</t>
    <phoneticPr fontId="37" type="noConversion"/>
  </si>
  <si>
    <t>附表1-10</t>
    <phoneticPr fontId="37" type="noConversion"/>
  </si>
  <si>
    <t>附表1-9</t>
    <phoneticPr fontId="37" type="noConversion"/>
  </si>
  <si>
    <t>9、</t>
    <phoneticPr fontId="86" type="noConversion"/>
  </si>
  <si>
    <t>10、</t>
    <phoneticPr fontId="37" type="noConversion"/>
  </si>
  <si>
    <t>上年预算数</t>
    <phoneticPr fontId="37" type="noConversion"/>
  </si>
  <si>
    <t>增值税</t>
    <phoneticPr fontId="37" type="noConversion"/>
  </si>
  <si>
    <t>资源税</t>
    <phoneticPr fontId="37" type="noConversion"/>
  </si>
  <si>
    <t>城市维护建设税</t>
    <phoneticPr fontId="37" type="noConversion"/>
  </si>
  <si>
    <t>房产税</t>
    <phoneticPr fontId="37" type="noConversion"/>
  </si>
  <si>
    <t>印花税</t>
    <phoneticPr fontId="37" type="noConversion"/>
  </si>
  <si>
    <t>城镇土地使用税</t>
    <phoneticPr fontId="37" type="noConversion"/>
  </si>
  <si>
    <t>土地增值税</t>
    <phoneticPr fontId="37" type="noConversion"/>
  </si>
  <si>
    <t>车船税</t>
    <phoneticPr fontId="37" type="noConversion"/>
  </si>
  <si>
    <t>耕地占用税</t>
    <phoneticPr fontId="37" type="noConversion"/>
  </si>
  <si>
    <t>契税</t>
    <phoneticPr fontId="37" type="noConversion"/>
  </si>
  <si>
    <t>烟叶税</t>
    <phoneticPr fontId="37" type="noConversion"/>
  </si>
  <si>
    <t>环境保护税</t>
    <phoneticPr fontId="37" type="noConversion"/>
  </si>
  <si>
    <t>其他税收</t>
    <phoneticPr fontId="37" type="noConversion"/>
  </si>
  <si>
    <t>功能科目</t>
    <phoneticPr fontId="37" type="noConversion"/>
  </si>
  <si>
    <t>科目编码</t>
    <phoneticPr fontId="37" type="noConversion"/>
  </si>
  <si>
    <t>科目名称</t>
    <phoneticPr fontId="37" type="noConversion"/>
  </si>
  <si>
    <t>上年预算数</t>
    <phoneticPr fontId="37" type="noConversion"/>
  </si>
  <si>
    <t>当年预算数为上年预算数的％</t>
    <phoneticPr fontId="37" type="noConversion"/>
  </si>
  <si>
    <t>附表1-7</t>
  </si>
  <si>
    <t>金额</t>
  </si>
  <si>
    <t>附表1-8</t>
  </si>
  <si>
    <t>税收返还</t>
  </si>
  <si>
    <t>上年预算数</t>
    <phoneticPr fontId="37" type="noConversion"/>
  </si>
  <si>
    <t>彩票公益金收入</t>
  </si>
  <si>
    <t>污水处理费收入</t>
  </si>
  <si>
    <t xml:space="preserve">      国有土地收益基金收入</t>
  </si>
  <si>
    <t xml:space="preserve">      农业土地开发资金收入</t>
  </si>
  <si>
    <t xml:space="preserve">      国有土地使用权出让收入</t>
  </si>
  <si>
    <t xml:space="preserve">      彩票公益金收入</t>
  </si>
  <si>
    <t xml:space="preserve">      城市基础设施配套费收入</t>
  </si>
  <si>
    <t xml:space="preserve">      污水处理费收入</t>
  </si>
  <si>
    <t>国有土地收益基金收入</t>
  </si>
  <si>
    <t>农业土地开发资金收入</t>
  </si>
  <si>
    <t>国有土地使用权出让收入</t>
  </si>
  <si>
    <t>城市基础设施配套费收入</t>
  </si>
  <si>
    <t>其他政府性基金收入</t>
  </si>
  <si>
    <t>上年预算</t>
    <phoneticPr fontId="37" type="noConversion"/>
  </si>
  <si>
    <t>当年预算数为上年预算数的％</t>
    <phoneticPr fontId="37" type="noConversion"/>
  </si>
  <si>
    <t>城乡社区支出</t>
    <phoneticPr fontId="37" type="noConversion"/>
  </si>
  <si>
    <t>农林水支出</t>
    <phoneticPr fontId="37" type="noConversion"/>
  </si>
  <si>
    <t>交通运输支出</t>
    <phoneticPr fontId="37" type="noConversion"/>
  </si>
  <si>
    <t>其他支出</t>
    <phoneticPr fontId="37" type="noConversion"/>
  </si>
  <si>
    <t>债务付息支出</t>
    <phoneticPr fontId="37" type="noConversion"/>
  </si>
  <si>
    <t>债务发行费用支出</t>
    <phoneticPr fontId="37" type="noConversion"/>
  </si>
  <si>
    <t>科目编码</t>
    <phoneticPr fontId="37" type="noConversion"/>
  </si>
  <si>
    <t>科目名称</t>
    <phoneticPr fontId="37" type="noConversion"/>
  </si>
  <si>
    <t>农业土地开发资金安排的支出</t>
  </si>
  <si>
    <t>土地出让业务支出</t>
  </si>
  <si>
    <t>其他国有土地使用权出让收入安排的支出</t>
  </si>
  <si>
    <t>其他城市基础设施配套费安排的支出</t>
  </si>
  <si>
    <t>污水处理设施建设和运营</t>
  </si>
  <si>
    <t>航道建设和维护</t>
  </si>
  <si>
    <t>民航机场建设</t>
  </si>
  <si>
    <t>航线和机场补贴</t>
  </si>
  <si>
    <t>其他民航发展基金支出</t>
  </si>
  <si>
    <t>用于社会福利的彩票公益金支出</t>
  </si>
  <si>
    <t>用于体育事业的彩票公益金支出</t>
  </si>
  <si>
    <t>用于残疾人事业的彩票公益金支出</t>
  </si>
  <si>
    <t>用于城乡医疗救助的彩票公益金支出</t>
  </si>
  <si>
    <t>二、交通运输支出</t>
  </si>
  <si>
    <t>二、其他支出</t>
  </si>
  <si>
    <t>三元区</t>
  </si>
  <si>
    <t>永安市</t>
  </si>
  <si>
    <t>宁化县</t>
  </si>
  <si>
    <t>大田县</t>
  </si>
  <si>
    <t>清流县</t>
  </si>
  <si>
    <t>明溪县</t>
  </si>
  <si>
    <t>尤溪县</t>
  </si>
  <si>
    <t>将乐县</t>
  </si>
  <si>
    <t>泰宁县</t>
  </si>
  <si>
    <t>建宁县</t>
  </si>
  <si>
    <t>上年预算数</t>
    <phoneticPr fontId="37" type="noConversion"/>
  </si>
  <si>
    <t>当年预算数为上年预算数的％</t>
    <phoneticPr fontId="37" type="noConversion"/>
  </si>
  <si>
    <t>合计</t>
    <phoneticPr fontId="37" type="noConversion"/>
  </si>
  <si>
    <t>增值税</t>
  </si>
  <si>
    <t>资源税</t>
  </si>
  <si>
    <t>城市维护建设税</t>
  </si>
  <si>
    <t>房产税</t>
  </si>
  <si>
    <t>印花税</t>
  </si>
  <si>
    <t>城镇土地使用税</t>
  </si>
  <si>
    <t>土地增值税</t>
  </si>
  <si>
    <t>车船税</t>
  </si>
  <si>
    <t>耕地占用税</t>
  </si>
  <si>
    <t>契税</t>
  </si>
  <si>
    <t>烟叶税</t>
  </si>
  <si>
    <t>环境保护税</t>
  </si>
  <si>
    <t>其他税收</t>
  </si>
  <si>
    <t>一、</t>
    <phoneticPr fontId="37" type="noConversion"/>
  </si>
  <si>
    <t>一般公共服务支出</t>
  </si>
  <si>
    <t>行政运行</t>
  </si>
  <si>
    <t>机关服务</t>
  </si>
  <si>
    <t>事业运行</t>
  </si>
  <si>
    <t>信访事务</t>
  </si>
  <si>
    <t>其他政府办公厅（室）及相关机构事务支出</t>
  </si>
  <si>
    <t>物价管理</t>
  </si>
  <si>
    <t>其他发展与改革事务支出</t>
  </si>
  <si>
    <t>信息事务</t>
  </si>
  <si>
    <t>专项普查活动</t>
  </si>
  <si>
    <t>一般行政管理事务</t>
  </si>
  <si>
    <t>信息化建设</t>
  </si>
  <si>
    <t>其他财政事务支出</t>
  </si>
  <si>
    <t>税收业务</t>
  </si>
  <si>
    <t>其他税收事务支出</t>
  </si>
  <si>
    <t>审计业务</t>
  </si>
  <si>
    <t>其他海关事务支出</t>
  </si>
  <si>
    <t>大案要案查处</t>
  </si>
  <si>
    <t>其他纪检监察事务支出</t>
  </si>
  <si>
    <t>其他商贸事务支出</t>
  </si>
  <si>
    <t>民族工作专项</t>
  </si>
  <si>
    <t>其他民族事务支出</t>
  </si>
  <si>
    <t>台湾事务</t>
  </si>
  <si>
    <t>其他档案事务支出</t>
  </si>
  <si>
    <t>参政议政</t>
  </si>
  <si>
    <t>其他民主党派及工商联事务支出</t>
  </si>
  <si>
    <t>其他群众团体事务支出</t>
  </si>
  <si>
    <t>其他党委办公厅（室）及相关机构事务支出</t>
  </si>
  <si>
    <t>其他组织事务支出</t>
  </si>
  <si>
    <t>其他共产党事务支出</t>
  </si>
  <si>
    <t>市场主体管理</t>
  </si>
  <si>
    <t>药品事务</t>
  </si>
  <si>
    <t>食品安全监管</t>
  </si>
  <si>
    <t>其他一般公共服务支出</t>
  </si>
  <si>
    <t>公共安全支出</t>
  </si>
  <si>
    <t>其他公安支出</t>
  </si>
  <si>
    <t>其他司法支出</t>
  </si>
  <si>
    <t>国家司法救助支出</t>
  </si>
  <si>
    <t>其他公共安全支出</t>
  </si>
  <si>
    <t>教育支出</t>
  </si>
  <si>
    <t>学前教育</t>
  </si>
  <si>
    <t>小学教育</t>
  </si>
  <si>
    <t>初中教育</t>
  </si>
  <si>
    <t>高中教育</t>
  </si>
  <si>
    <t>高等教育</t>
  </si>
  <si>
    <t>其他普通教育支出</t>
  </si>
  <si>
    <t>中等职业教育</t>
  </si>
  <si>
    <t>技校教育</t>
  </si>
  <si>
    <t>高等职业教育</t>
  </si>
  <si>
    <t>成人中等教育</t>
  </si>
  <si>
    <t>成人广播电视教育</t>
  </si>
  <si>
    <t>特殊学校教育</t>
  </si>
  <si>
    <t>其他特殊教育支出</t>
  </si>
  <si>
    <t>教师进修</t>
  </si>
  <si>
    <t>干部教育</t>
  </si>
  <si>
    <t>其他进修及培训</t>
  </si>
  <si>
    <t>其他教育费附加安排的支出</t>
  </si>
  <si>
    <t>其他教育支出</t>
  </si>
  <si>
    <t>科学技术支出</t>
  </si>
  <si>
    <t>机构运行</t>
  </si>
  <si>
    <t>社会公益研究</t>
  </si>
  <si>
    <t>其他技术研究与开发支出</t>
  </si>
  <si>
    <t>技术创新服务体系</t>
  </si>
  <si>
    <t>社会科学研究</t>
  </si>
  <si>
    <t>科普活动</t>
  </si>
  <si>
    <t>科技馆站</t>
  </si>
  <si>
    <t>其他科学技术普及支出</t>
  </si>
  <si>
    <t>其他科学技术支出</t>
  </si>
  <si>
    <t>文化旅游体育与传媒支出</t>
  </si>
  <si>
    <t>图书馆</t>
  </si>
  <si>
    <t>艺术表演团体</t>
  </si>
  <si>
    <t>群众文化</t>
  </si>
  <si>
    <t>文化创作与保护</t>
  </si>
  <si>
    <t>文化和旅游市场管理</t>
  </si>
  <si>
    <t>文化和旅游管理事务</t>
  </si>
  <si>
    <t>其他文化和旅游支出</t>
  </si>
  <si>
    <t>文物保护</t>
  </si>
  <si>
    <t>博物馆</t>
  </si>
  <si>
    <t>运动项目管理</t>
  </si>
  <si>
    <t>体育场馆</t>
  </si>
  <si>
    <t>群众体育</t>
  </si>
  <si>
    <t>其他体育支出</t>
  </si>
  <si>
    <t>出版发行</t>
  </si>
  <si>
    <t>其他广播电视支出</t>
  </si>
  <si>
    <t>其他文化旅游体育与传媒支出</t>
  </si>
  <si>
    <t>社会保障和就业支出</t>
  </si>
  <si>
    <t>就业管理事务</t>
  </si>
  <si>
    <t>社会保险经办机构</t>
  </si>
  <si>
    <t>公共就业服务和职业技能鉴定机构</t>
  </si>
  <si>
    <t>引进人才费用</t>
  </si>
  <si>
    <t>其他人力资源和社会保障管理事务支出</t>
  </si>
  <si>
    <t>基层政权建设和社区治理</t>
  </si>
  <si>
    <t>其他民政管理事务支出</t>
  </si>
  <si>
    <t>行政单位离退休</t>
  </si>
  <si>
    <t>事业单位离退休</t>
  </si>
  <si>
    <t>机关事业单位基本养老保险缴费支出</t>
  </si>
  <si>
    <t>机关事业单位职业年金缴费支出</t>
  </si>
  <si>
    <t>对机关事业单位基本养老保险基金的补助</t>
  </si>
  <si>
    <t>其他行政事业单位离退休支出</t>
  </si>
  <si>
    <t>其他就业补助支出</t>
  </si>
  <si>
    <t>军队移交政府的离退休人员安置</t>
  </si>
  <si>
    <t>军队移交政府离退休干部管理机构</t>
  </si>
  <si>
    <t>军队转业干部安置</t>
  </si>
  <si>
    <t>其他退役安置支出</t>
  </si>
  <si>
    <t>儿童福利</t>
  </si>
  <si>
    <t>殡葬</t>
  </si>
  <si>
    <t>社会福利事业单位</t>
  </si>
  <si>
    <t>残疾人康复</t>
  </si>
  <si>
    <t>残疾人就业和扶贫</t>
  </si>
  <si>
    <t>其他残疾人事业支出</t>
  </si>
  <si>
    <t>农村最低生活保障金支出</t>
  </si>
  <si>
    <t>财政对城乡居民基本养老保险基金的补助</t>
  </si>
  <si>
    <t>其他社会保障和就业支出</t>
  </si>
  <si>
    <t>卫生健康支出</t>
  </si>
  <si>
    <t>其他卫生健康管理事务支出</t>
  </si>
  <si>
    <t>综合医院</t>
  </si>
  <si>
    <t>中医（民族）医院</t>
  </si>
  <si>
    <t>其他公立医院支出</t>
  </si>
  <si>
    <t>疾病预防控制机构</t>
  </si>
  <si>
    <t>卫生监督机构</t>
  </si>
  <si>
    <t>妇幼保健机构</t>
  </si>
  <si>
    <t>精神卫生机构</t>
  </si>
  <si>
    <t>采供血机构</t>
  </si>
  <si>
    <t>基本公共卫生服务</t>
  </si>
  <si>
    <t>突发公共卫生事件应急处理</t>
  </si>
  <si>
    <t>其他公共卫生支出</t>
  </si>
  <si>
    <t>中医（民族医）药专项</t>
  </si>
  <si>
    <t>计划生育服务</t>
  </si>
  <si>
    <t>其他计划生育事务支出</t>
  </si>
  <si>
    <t>行政单位医疗</t>
  </si>
  <si>
    <t>事业单位医疗</t>
  </si>
  <si>
    <t>财政对城乡居民基本医疗保险基金的补助</t>
  </si>
  <si>
    <t>城乡医疗救助</t>
  </si>
  <si>
    <t>疾病应急救助</t>
  </si>
  <si>
    <t>其他卫生健康支出</t>
  </si>
  <si>
    <t>节能环保支出</t>
  </si>
  <si>
    <t>其他环境保护管理事务支出</t>
  </si>
  <si>
    <t>其他环境监测与监察支出</t>
  </si>
  <si>
    <t>水体</t>
  </si>
  <si>
    <t>农村环境保护</t>
  </si>
  <si>
    <t>能源节约利用</t>
  </si>
  <si>
    <t>其他节能环保支出</t>
  </si>
  <si>
    <t>城乡社区支出</t>
  </si>
  <si>
    <t>城管执法</t>
  </si>
  <si>
    <t>工程建设标准规范编制与监管</t>
  </si>
  <si>
    <t>工程建设管理</t>
  </si>
  <si>
    <t>市政公用行业市场监管</t>
  </si>
  <si>
    <t>住宅建设与房地产市场监管</t>
  </si>
  <si>
    <t>其他城乡社区管理事务支出</t>
  </si>
  <si>
    <t>城乡社区规划与管理</t>
  </si>
  <si>
    <t>城乡社区环境卫生</t>
  </si>
  <si>
    <t>其他城乡社区支出</t>
  </si>
  <si>
    <t>农林水支出</t>
  </si>
  <si>
    <t>科技转化与推广服务</t>
  </si>
  <si>
    <t>病虫害控制</t>
  </si>
  <si>
    <t>对高校毕业生到基层任职补助</t>
  </si>
  <si>
    <t>其他农业支出</t>
  </si>
  <si>
    <t>事业机构</t>
  </si>
  <si>
    <t>森林资源培育</t>
  </si>
  <si>
    <t>技术推广与转化</t>
  </si>
  <si>
    <t>森林资源管理</t>
  </si>
  <si>
    <t>林业草原防灾减灾</t>
  </si>
  <si>
    <t>行业业务管理</t>
  </si>
  <si>
    <t>其他林业和草原支出</t>
  </si>
  <si>
    <t>水资源节约管理与保护</t>
  </si>
  <si>
    <t>水质监测</t>
  </si>
  <si>
    <t>水文测报</t>
  </si>
  <si>
    <t>大中型水库移民后期扶持专项支出</t>
  </si>
  <si>
    <t>其他水利支出</t>
  </si>
  <si>
    <t>农村基础设施建设</t>
  </si>
  <si>
    <t>其他普惠金融发展支出</t>
  </si>
  <si>
    <t>交通运输支出</t>
  </si>
  <si>
    <t>公路建设</t>
  </si>
  <si>
    <t>公路养护</t>
  </si>
  <si>
    <t>其他公路水路运输支出</t>
  </si>
  <si>
    <t>其他铁路运输支出</t>
  </si>
  <si>
    <t>其他民用航空运输支出</t>
  </si>
  <si>
    <t>车辆购置税用于公路等基础设施建设支出</t>
  </si>
  <si>
    <t>其他交通运输支出</t>
  </si>
  <si>
    <t>资源勘探工业信息等支出</t>
  </si>
  <si>
    <t>其他制造业支出</t>
  </si>
  <si>
    <t>中小企业发展专项</t>
  </si>
  <si>
    <t>技术改造支出</t>
  </si>
  <si>
    <t>其他资源勘探信息等支出</t>
  </si>
  <si>
    <t>商业服务业等支出</t>
  </si>
  <si>
    <t>其他商业流通事务支出</t>
  </si>
  <si>
    <t>其他涉外发展服务支出</t>
  </si>
  <si>
    <t>服务业基础设施建设</t>
  </si>
  <si>
    <t>其他商业服务业等支出</t>
  </si>
  <si>
    <t>金融支出</t>
  </si>
  <si>
    <t>其他金融支出</t>
  </si>
  <si>
    <t>自然资源海洋气象等支出</t>
  </si>
  <si>
    <t>自然资源规划及管理</t>
  </si>
  <si>
    <t>气象装备保障维护</t>
  </si>
  <si>
    <t>住房保障支出</t>
  </si>
  <si>
    <t>其他保障性安居工程支出</t>
  </si>
  <si>
    <t>住房公积金管理</t>
  </si>
  <si>
    <t>粮油物资储备支出</t>
  </si>
  <si>
    <t>粮食风险基金</t>
  </si>
  <si>
    <t>其他粮油物资事务支出</t>
  </si>
  <si>
    <t>应急物资储备</t>
  </si>
  <si>
    <t>灾害防治及应急管理支出</t>
  </si>
  <si>
    <t>其他应急管理支出</t>
  </si>
  <si>
    <t>其他消防事务支出</t>
  </si>
  <si>
    <t>地震监测</t>
  </si>
  <si>
    <t>地震应急救援</t>
  </si>
  <si>
    <t>防震减灾信息管理</t>
  </si>
  <si>
    <t>其他地震事务支出</t>
  </si>
  <si>
    <t>债务付息支出</t>
  </si>
  <si>
    <t>5、</t>
    <phoneticPr fontId="37" type="noConversion"/>
  </si>
  <si>
    <t>三、转移性收入</t>
    <phoneticPr fontId="37" type="noConversion"/>
  </si>
  <si>
    <t>企业所得税</t>
    <phoneticPr fontId="37" type="noConversion"/>
  </si>
  <si>
    <t>个人所得税</t>
    <phoneticPr fontId="37" type="noConversion"/>
  </si>
  <si>
    <t>企业所得税</t>
    <phoneticPr fontId="37" type="noConversion"/>
  </si>
  <si>
    <t>个人所得税</t>
    <phoneticPr fontId="37" type="noConversion"/>
  </si>
  <si>
    <t>一、政府预算公开</t>
    <phoneticPr fontId="37" type="noConversion"/>
  </si>
  <si>
    <t>五、政府债务公开</t>
    <phoneticPr fontId="37" type="noConversion"/>
  </si>
  <si>
    <t>一、城乡社区支出</t>
    <phoneticPr fontId="37" type="noConversion"/>
  </si>
  <si>
    <t>当年预算数为上年预算数的％</t>
    <phoneticPr fontId="37" type="noConversion"/>
  </si>
  <si>
    <t>当年预算数为上年预算数的％</t>
    <phoneticPr fontId="37" type="noConversion"/>
  </si>
  <si>
    <t>收入合计</t>
    <phoneticPr fontId="37" type="noConversion"/>
  </si>
  <si>
    <t>信息安全事务</t>
  </si>
  <si>
    <t>行政运行（公安）</t>
  </si>
  <si>
    <t>其他国家安全支出</t>
  </si>
  <si>
    <t>行政运行（司法）</t>
  </si>
  <si>
    <t>其他政协事务支出</t>
  </si>
  <si>
    <t>财政委托业务支出</t>
  </si>
  <si>
    <t>审计管理</t>
  </si>
  <si>
    <t>公务员事务</t>
  </si>
  <si>
    <t>其他宣传事务支出</t>
  </si>
  <si>
    <t>科技成果转化与扩散</t>
  </si>
  <si>
    <t>社会组织管理</t>
  </si>
  <si>
    <t>对机关事业单位职业年金的补助</t>
  </si>
  <si>
    <t>烈士纪念设施管理维护</t>
  </si>
  <si>
    <t>其他优抚支出</t>
  </si>
  <si>
    <t>临时救助支出</t>
  </si>
  <si>
    <t>其他城市生活救助</t>
  </si>
  <si>
    <t>财政对其他基本养老保险基金的补助</t>
  </si>
  <si>
    <t>拥军优属</t>
  </si>
  <si>
    <t>其他基层医疗卫生机构支出</t>
  </si>
  <si>
    <t>财政对其他基本医疗保险基金的补助</t>
  </si>
  <si>
    <t>自然保护地</t>
  </si>
  <si>
    <t>停伐补助</t>
  </si>
  <si>
    <t>乡村产业与合作经济</t>
  </si>
  <si>
    <t>农业资源保护修复与利用</t>
  </si>
  <si>
    <t>森林生态效益补偿</t>
  </si>
  <si>
    <t>水土保持（水利）</t>
  </si>
  <si>
    <t>防汛</t>
  </si>
  <si>
    <t>行政运行（邮政业支出）</t>
  </si>
  <si>
    <t>行政监管</t>
  </si>
  <si>
    <t>机关服务（国土资源事务）</t>
  </si>
  <si>
    <t>事业运行（国土资源事务）</t>
  </si>
  <si>
    <t>安全监管</t>
  </si>
  <si>
    <t>城市建设支出</t>
  </si>
  <si>
    <t>廉租住房支出</t>
  </si>
  <si>
    <t>一、失业保险基金收入</t>
    <phoneticPr fontId="37" type="noConversion"/>
  </si>
  <si>
    <t>二、职工基本医疗保险基金收入</t>
    <phoneticPr fontId="37" type="noConversion"/>
  </si>
  <si>
    <t>三、工伤保险基金收入</t>
    <phoneticPr fontId="37" type="noConversion"/>
  </si>
  <si>
    <t>四、城乡居民医疗保险基金收入</t>
    <phoneticPr fontId="37" type="noConversion"/>
  </si>
  <si>
    <t>四、城乡居民医疗保险基金收入</t>
    <phoneticPr fontId="37" type="noConversion"/>
  </si>
  <si>
    <t>一、失业保险基金支出</t>
    <phoneticPr fontId="37" type="noConversion"/>
  </si>
  <si>
    <t>二、职工基本医疗保险基金支出</t>
    <phoneticPr fontId="37" type="noConversion"/>
  </si>
  <si>
    <t>三、工伤保险基金支出</t>
    <phoneticPr fontId="37" type="noConversion"/>
  </si>
  <si>
    <t>五、机关事业单位养老保险基金收入</t>
    <phoneticPr fontId="37" type="noConversion"/>
  </si>
  <si>
    <t>五、机关事业单位养老保险基金支出</t>
    <phoneticPr fontId="37" type="noConversion"/>
  </si>
  <si>
    <t>三、工伤保险基金收入</t>
    <phoneticPr fontId="37" type="noConversion"/>
  </si>
  <si>
    <t>四、城乡居民医疗保险基金支出</t>
    <phoneticPr fontId="37" type="noConversion"/>
  </si>
  <si>
    <t>一、失业保险基金支出</t>
    <phoneticPr fontId="37" type="noConversion"/>
  </si>
  <si>
    <t>二、职工基本医疗保险基金支出</t>
    <phoneticPr fontId="37" type="noConversion"/>
  </si>
  <si>
    <t xml:space="preserve">          稳定岗位补贴支出</t>
    <phoneticPr fontId="37" type="noConversion"/>
  </si>
  <si>
    <t xml:space="preserve">          技能提升补贴支出</t>
    <phoneticPr fontId="37" type="noConversion"/>
  </si>
  <si>
    <t xml:space="preserve">          其他费用支出</t>
    <phoneticPr fontId="37" type="noConversion"/>
  </si>
  <si>
    <t>四、城乡居民医疗保险基金支出</t>
    <phoneticPr fontId="37" type="noConversion"/>
  </si>
  <si>
    <t>其他巩固脱贫衔接乡村振兴支出</t>
    <phoneticPr fontId="37" type="noConversion"/>
  </si>
  <si>
    <t>13.重点生态功能区转移支付支出</t>
    <phoneticPr fontId="37" type="noConversion"/>
  </si>
  <si>
    <t>13.农林水支出</t>
    <phoneticPr fontId="37" type="noConversion"/>
  </si>
  <si>
    <t>　　民族乡发展专项</t>
    <phoneticPr fontId="37" type="noConversion"/>
  </si>
  <si>
    <t>　　社区综治协管员经费</t>
    <phoneticPr fontId="37" type="noConversion"/>
  </si>
  <si>
    <t xml:space="preserve">    苏区革命基点村专项</t>
    <phoneticPr fontId="37" type="noConversion"/>
  </si>
  <si>
    <t>2.均衡性转移支付支出</t>
    <phoneticPr fontId="37" type="noConversion"/>
  </si>
  <si>
    <t>14.固定数额补助支出</t>
    <phoneticPr fontId="37" type="noConversion"/>
  </si>
  <si>
    <t xml:space="preserve">备注：按照党中央、国务院有关文件及部门预算管理有关规定，“三公”经费包括因公出国（境）费、公务用车购置及运行费和公务接待费。（1）因公出国（境）费，指单位工作人员公务出国（境）的国际旅费、国外城市间交通费、住宿费、伙食费、培训费、公杂费等支出。（2）公务用车购置及运行费，指单位公务用车购置费(含车辆购置税、牌照费)及燃料费、维修费、过桥过路费、保险费、安全奖励费用等支出，公务用车指车改后单位按规定保留的用于履行公务的机动车辆，包括领导干部用车、一般公务用车和执法执勤用车等。（3）公务接待费，指单位按规定开支的各类公务接待（含外宾接待）费用。     </t>
    <phoneticPr fontId="37" type="noConversion"/>
  </si>
  <si>
    <t>2023年度三明市预算收支表</t>
    <phoneticPr fontId="37" type="noConversion"/>
  </si>
  <si>
    <t>附表1-1：2023年度三明市一般公共预算收入预算表</t>
  </si>
  <si>
    <t>附表1-2：2023年度三明市一般公共预算支出预算表</t>
  </si>
  <si>
    <t>附表1-3：2023年度三明市本级一般公共预算收入预算表</t>
  </si>
  <si>
    <t>附表1-4：2023年度三明市本级一般公共预算支出预算表</t>
  </si>
  <si>
    <t>附表1-5：2023年度三明市本级一般公共预算支出经济分类情况表</t>
  </si>
  <si>
    <t>附表1-6：2023年度三明市本级一般公共预算基本支出经济分类情况表</t>
  </si>
  <si>
    <t>附表1-7：2023年度一般公共预算对下税收返还和转移支付预算表（分项目）</t>
  </si>
  <si>
    <t>附表1-8：2023年度一般公共预算对下税收返还和转移支付预算表（分地区）</t>
  </si>
  <si>
    <t>附表1-9：2023年度三明市本级一般公共预算“三公”经费支出预算表</t>
  </si>
  <si>
    <t>附表1-10：2023年度三明市政府性基金收入预算表</t>
  </si>
  <si>
    <t>附表1-11：2023年度三明市政府性基金支出预算表</t>
  </si>
  <si>
    <t>附表1-12：2023年度三明市本级政府性基金收入预算表</t>
  </si>
  <si>
    <t>附表1-13：2023年度三明市本级政府性基金支出预算表</t>
  </si>
  <si>
    <t>附表1-14：2023年度三明市政府性基金转移支付预算表</t>
  </si>
  <si>
    <t>附表1-15：2023年度三明市国有资本经营收入预算表</t>
  </si>
  <si>
    <t>附表1-16：2023年度三明市国有资本经营支出预算表</t>
  </si>
  <si>
    <t>附表1-17：2023年度三明市本级国有资本经营收入预算表</t>
  </si>
  <si>
    <t>附表1-18：2023年度三明市本级国有资本经营支出预算表</t>
  </si>
  <si>
    <t>附表1-19：2023年度三明市社会保险基金预算收入表</t>
  </si>
  <si>
    <t>附表1-20：2023年度三明市社会保险基金预算支出表</t>
  </si>
  <si>
    <t>附表1-21：2023年度三明市本级社会保险基金预算收入表</t>
  </si>
  <si>
    <t>附表1-22：2023年度三明市本级社会保险基金预算支出表</t>
  </si>
  <si>
    <t>附表5-5：2022年度地方政府债务限额余额情况表</t>
    <phoneticPr fontId="37" type="noConversion"/>
  </si>
  <si>
    <t>2023年度三明市一般公共预算收入预算表</t>
    <phoneticPr fontId="37" type="noConversion"/>
  </si>
  <si>
    <t>2023年度三明市一般公共预算支出预算表</t>
    <phoneticPr fontId="37" type="noConversion"/>
  </si>
  <si>
    <t>2023年度三明市本级一般公共预算收入预算表</t>
    <phoneticPr fontId="37" type="noConversion"/>
  </si>
  <si>
    <t>2023年度三明市本级一般公共预算支出预算表</t>
    <phoneticPr fontId="37" type="noConversion"/>
  </si>
  <si>
    <t>招商引资</t>
  </si>
  <si>
    <t>档案馆</t>
  </si>
  <si>
    <t>专项业务</t>
  </si>
  <si>
    <t>华侨事务</t>
  </si>
  <si>
    <t>社会保险业务管理事务</t>
  </si>
  <si>
    <t>老年福利</t>
  </si>
  <si>
    <t>养老服务</t>
  </si>
  <si>
    <t>其他财政对社会保险基金的补助</t>
  </si>
  <si>
    <t>其他医疗保障管理事务支出</t>
  </si>
  <si>
    <t>大气</t>
  </si>
  <si>
    <t>其他城乡社区公共设施支出</t>
  </si>
  <si>
    <t>农产品质量安全</t>
  </si>
  <si>
    <t>渔业发展</t>
  </si>
  <si>
    <t>农业保险保费补贴</t>
  </si>
  <si>
    <t>公路运输管理</t>
  </si>
  <si>
    <t>公共交通运营补助</t>
  </si>
  <si>
    <t>其他支持中小企业发展和管理支出</t>
  </si>
  <si>
    <t>自然资源利用与保护</t>
  </si>
  <si>
    <t>自然资源行业业务管理</t>
  </si>
  <si>
    <t>公共租赁住房</t>
  </si>
  <si>
    <t>地质灾害防治</t>
  </si>
  <si>
    <t>2023年度三明市本级一般公共预算支出经济分类情况表</t>
    <phoneticPr fontId="37" type="noConversion"/>
  </si>
  <si>
    <t>2023年度三明市本级一般公共预算基本支出经济分类情况表</t>
    <phoneticPr fontId="37" type="noConversion"/>
  </si>
  <si>
    <t>2023年度一般公共预算对下税收返还和转移支付预算表（分项目）</t>
    <phoneticPr fontId="37" type="noConversion"/>
  </si>
  <si>
    <t>2023年度一般公共预算对下税收返还和转移支付预算表（分地区）</t>
    <phoneticPr fontId="37" type="noConversion"/>
  </si>
  <si>
    <t>2023年度三明市本级一般公共预算“三公”经费支出预算表</t>
    <phoneticPr fontId="37" type="noConversion"/>
  </si>
  <si>
    <t>2023年度三明市政府性基金收入预算表</t>
    <phoneticPr fontId="37" type="noConversion"/>
  </si>
  <si>
    <t>2023年度三明市政府性基金支出预算表</t>
    <phoneticPr fontId="37" type="noConversion"/>
  </si>
  <si>
    <t>社会保障和就业支出</t>
    <phoneticPr fontId="37" type="noConversion"/>
  </si>
  <si>
    <t>2023年度三明市本级政府性基金收入预算表</t>
    <phoneticPr fontId="37" type="noConversion"/>
  </si>
  <si>
    <t>2023年度三明市本级政府性基金支出预算表</t>
    <phoneticPr fontId="37" type="noConversion"/>
  </si>
  <si>
    <t>棚户区改造支出</t>
    <phoneticPr fontId="37" type="noConversion"/>
  </si>
  <si>
    <t>彩票市场调控资金支出</t>
  </si>
  <si>
    <t>2023年度三明市政府性基金转移支付预算表</t>
    <phoneticPr fontId="37" type="noConversion"/>
  </si>
  <si>
    <t>沙县区</t>
    <phoneticPr fontId="37" type="noConversion"/>
  </si>
  <si>
    <t>备注：2023年度三明市本级年初预算未安排政府性基金对下转移性支付支出。</t>
    <phoneticPr fontId="37" type="noConversion"/>
  </si>
  <si>
    <t>三元区</t>
    <phoneticPr fontId="37" type="noConversion"/>
  </si>
  <si>
    <t>永安市</t>
    <phoneticPr fontId="37" type="noConversion"/>
  </si>
  <si>
    <t>宁化县</t>
    <phoneticPr fontId="37" type="noConversion"/>
  </si>
  <si>
    <t>大田县</t>
    <phoneticPr fontId="37" type="noConversion"/>
  </si>
  <si>
    <t>清流县</t>
    <phoneticPr fontId="37" type="noConversion"/>
  </si>
  <si>
    <t>明溪县</t>
    <phoneticPr fontId="37" type="noConversion"/>
  </si>
  <si>
    <t>尤溪县</t>
    <phoneticPr fontId="37" type="noConversion"/>
  </si>
  <si>
    <t>沙县区</t>
    <phoneticPr fontId="37" type="noConversion"/>
  </si>
  <si>
    <t>将乐县</t>
    <phoneticPr fontId="37" type="noConversion"/>
  </si>
  <si>
    <t>泰宁县</t>
    <phoneticPr fontId="37" type="noConversion"/>
  </si>
  <si>
    <t>建宁县</t>
    <phoneticPr fontId="37" type="noConversion"/>
  </si>
  <si>
    <t>2023年度三明市国有资本经营收入预算表</t>
    <phoneticPr fontId="37" type="noConversion"/>
  </si>
  <si>
    <t>2023年度三明市国有资本经营支出预算表</t>
    <phoneticPr fontId="37" type="noConversion"/>
  </si>
  <si>
    <t>2023年度三明市本级国有资本经营收入预算表</t>
    <phoneticPr fontId="37" type="noConversion"/>
  </si>
  <si>
    <t>2023年度三明市本级国有资本经营支出预算表</t>
    <phoneticPr fontId="37" type="noConversion"/>
  </si>
  <si>
    <t>2023年度三明市社会保险基金预算收入表</t>
    <phoneticPr fontId="66" type="noConversion"/>
  </si>
  <si>
    <t>2023年度三明市社会保险基金预算支出表</t>
    <phoneticPr fontId="66" type="noConversion"/>
  </si>
  <si>
    <t>2023年度三明市本级社会保险基金预算收入表</t>
    <phoneticPr fontId="37" type="noConversion"/>
  </si>
  <si>
    <t>2023年度三明市本级社会保险基金预算支出表</t>
    <phoneticPr fontId="37" type="noConversion"/>
  </si>
  <si>
    <t>附表5-1：2022年度三明市政府一般债务余额和限额情况表</t>
    <phoneticPr fontId="37" type="noConversion"/>
  </si>
  <si>
    <t>附表5-2：2022年度三明市本级政府一般债务余额和限额情况表</t>
    <phoneticPr fontId="37" type="noConversion"/>
  </si>
  <si>
    <t>附表5-3：2022年度三明市政府专项债务余额和限额情况表</t>
    <phoneticPr fontId="37" type="noConversion"/>
  </si>
  <si>
    <t>附表5-4：2022年度三明市本级政府专项债务余额和限额情况表</t>
    <phoneticPr fontId="37" type="noConversion"/>
  </si>
  <si>
    <t>备注：2023年，失业保险基金由市级统筹改为省级统筹，预算由省本级统一编制。</t>
    <phoneticPr fontId="37" type="noConversion"/>
  </si>
  <si>
    <t>附表5-1</t>
    <phoneticPr fontId="37" type="noConversion"/>
  </si>
  <si>
    <t>2022年度三明市政府一般债务余额和限额情况表</t>
    <phoneticPr fontId="37" type="noConversion"/>
  </si>
  <si>
    <t>单位：万元</t>
    <phoneticPr fontId="97" type="noConversion"/>
  </si>
  <si>
    <t>政府债务余额</t>
    <phoneticPr fontId="97" type="noConversion"/>
  </si>
  <si>
    <t>金额</t>
    <phoneticPr fontId="37" type="noConversion"/>
  </si>
  <si>
    <t>1. 2021年末一般债务余额</t>
    <phoneticPr fontId="37" type="noConversion"/>
  </si>
  <si>
    <t>2. 2022年新增一般债务额</t>
    <phoneticPr fontId="37" type="noConversion"/>
  </si>
  <si>
    <t>3. 2022年偿还一般债务本金</t>
    <phoneticPr fontId="37" type="noConversion"/>
  </si>
  <si>
    <t>4. 2022年末一般债务余额</t>
    <phoneticPr fontId="37" type="noConversion"/>
  </si>
  <si>
    <t>政府债务限额</t>
    <phoneticPr fontId="97" type="noConversion"/>
  </si>
  <si>
    <t>金额</t>
    <phoneticPr fontId="37" type="noConversion"/>
  </si>
  <si>
    <t>1．2021年一般债务限额</t>
    <phoneticPr fontId="37" type="noConversion"/>
  </si>
  <si>
    <t>2．2022年新增一般债务限额</t>
    <phoneticPr fontId="37" type="noConversion"/>
  </si>
  <si>
    <t>3. 2022年收回一般债务限额</t>
    <phoneticPr fontId="37" type="noConversion"/>
  </si>
  <si>
    <t>4. 2022年再融资债券下达一般债务限额</t>
    <phoneticPr fontId="37" type="noConversion"/>
  </si>
  <si>
    <t>5．2022年一般债务限额</t>
    <phoneticPr fontId="37" type="noConversion"/>
  </si>
  <si>
    <t>附表5-2</t>
    <phoneticPr fontId="37" type="noConversion"/>
  </si>
  <si>
    <r>
      <t>202</t>
    </r>
    <r>
      <rPr>
        <b/>
        <sz val="16"/>
        <color theme="1"/>
        <rFont val="方正小标宋_GBK"/>
        <family val="4"/>
        <charset val="134"/>
      </rPr>
      <t>2</t>
    </r>
    <r>
      <rPr>
        <b/>
        <sz val="16"/>
        <color theme="1"/>
        <rFont val="方正小标宋_GBK"/>
        <family val="4"/>
        <charset val="134"/>
      </rPr>
      <t>年度三明市本级政府一般债务余额和限额情况表</t>
    </r>
    <phoneticPr fontId="37" type="noConversion"/>
  </si>
  <si>
    <t>单位：万元</t>
    <phoneticPr fontId="97" type="noConversion"/>
  </si>
  <si>
    <t>政府债务余额</t>
    <phoneticPr fontId="97" type="noConversion"/>
  </si>
  <si>
    <t>金额</t>
    <phoneticPr fontId="37" type="noConversion"/>
  </si>
  <si>
    <t>1. 2021年末一般债务余额</t>
    <phoneticPr fontId="37" type="noConversion"/>
  </si>
  <si>
    <t>2. 2022年新增一般债务额</t>
    <phoneticPr fontId="37" type="noConversion"/>
  </si>
  <si>
    <t>3. 2022年偿还一般债务本金</t>
    <phoneticPr fontId="37" type="noConversion"/>
  </si>
  <si>
    <t>4. 2022年末一般债务余额</t>
    <phoneticPr fontId="37" type="noConversion"/>
  </si>
  <si>
    <t>政府债务限额</t>
    <phoneticPr fontId="97" type="noConversion"/>
  </si>
  <si>
    <t>1．2021年一般债务限额</t>
    <phoneticPr fontId="37" type="noConversion"/>
  </si>
  <si>
    <t>2．2022年新增一般债务限额</t>
    <phoneticPr fontId="37" type="noConversion"/>
  </si>
  <si>
    <t>3. 2022年收回一般债务限额</t>
    <phoneticPr fontId="37" type="noConversion"/>
  </si>
  <si>
    <t>4. 2022年再融资债券下达一般债务限额</t>
    <phoneticPr fontId="37" type="noConversion"/>
  </si>
  <si>
    <t>5．2022年一般债务限额</t>
    <phoneticPr fontId="37" type="noConversion"/>
  </si>
  <si>
    <t>附表5-3</t>
    <phoneticPr fontId="37" type="noConversion"/>
  </si>
  <si>
    <r>
      <t>202</t>
    </r>
    <r>
      <rPr>
        <b/>
        <sz val="16"/>
        <color theme="1"/>
        <rFont val="方正小标宋_GBK"/>
        <family val="4"/>
        <charset val="134"/>
      </rPr>
      <t>2</t>
    </r>
    <r>
      <rPr>
        <b/>
        <sz val="16"/>
        <color theme="1"/>
        <rFont val="方正小标宋_GBK"/>
        <family val="4"/>
        <charset val="134"/>
      </rPr>
      <t>年度三明市政府专项债务余额和限额情况表</t>
    </r>
    <phoneticPr fontId="37" type="noConversion"/>
  </si>
  <si>
    <t>单位：万元</t>
    <phoneticPr fontId="97" type="noConversion"/>
  </si>
  <si>
    <t>政府债务余额</t>
    <phoneticPr fontId="97" type="noConversion"/>
  </si>
  <si>
    <t>金额</t>
    <phoneticPr fontId="37" type="noConversion"/>
  </si>
  <si>
    <t>1. 2021年末专项债务余额</t>
    <phoneticPr fontId="37" type="noConversion"/>
  </si>
  <si>
    <t>2. 2022年新增专项债务额</t>
    <phoneticPr fontId="66" type="noConversion"/>
  </si>
  <si>
    <t>3. 2022年偿还专项债务本金</t>
    <phoneticPr fontId="66" type="noConversion"/>
  </si>
  <si>
    <t>4. 2022年末专项债务余额</t>
    <phoneticPr fontId="66" type="noConversion"/>
  </si>
  <si>
    <t>政府债务限额</t>
    <phoneticPr fontId="97" type="noConversion"/>
  </si>
  <si>
    <t>1．2021年专项债务限额</t>
    <phoneticPr fontId="37" type="noConversion"/>
  </si>
  <si>
    <t>2．2022年新增专项债务限额</t>
    <phoneticPr fontId="66" type="noConversion"/>
  </si>
  <si>
    <t>3. 2022年收回专项债务限额</t>
    <phoneticPr fontId="66" type="noConversion"/>
  </si>
  <si>
    <t>4. 2022年再融资债券下达专项债务限额</t>
    <phoneticPr fontId="66" type="noConversion"/>
  </si>
  <si>
    <t>5．2022年专项债务限额</t>
    <phoneticPr fontId="66" type="noConversion"/>
  </si>
  <si>
    <t>附表5-4</t>
    <phoneticPr fontId="37" type="noConversion"/>
  </si>
  <si>
    <r>
      <t>202</t>
    </r>
    <r>
      <rPr>
        <b/>
        <sz val="16"/>
        <color theme="1"/>
        <rFont val="方正小标宋_GBK"/>
        <family val="4"/>
        <charset val="134"/>
      </rPr>
      <t>2</t>
    </r>
    <r>
      <rPr>
        <b/>
        <sz val="16"/>
        <color theme="1"/>
        <rFont val="方正小标宋_GBK"/>
        <family val="4"/>
        <charset val="134"/>
      </rPr>
      <t>年度三明市本级政府专项债务余额和限额情况表</t>
    </r>
    <phoneticPr fontId="37" type="noConversion"/>
  </si>
  <si>
    <t>单位：万元</t>
    <phoneticPr fontId="97" type="noConversion"/>
  </si>
  <si>
    <t>政府债务余额</t>
    <phoneticPr fontId="97" type="noConversion"/>
  </si>
  <si>
    <t>金额</t>
    <phoneticPr fontId="37" type="noConversion"/>
  </si>
  <si>
    <t>1. 2021年末专项债务余额</t>
    <phoneticPr fontId="37" type="noConversion"/>
  </si>
  <si>
    <t>2. 2022年新增专项债务额</t>
    <phoneticPr fontId="66" type="noConversion"/>
  </si>
  <si>
    <t>3. 2022年偿还专项债务本金</t>
    <phoneticPr fontId="66" type="noConversion"/>
  </si>
  <si>
    <t>4. 2022年末专项债务余额</t>
    <phoneticPr fontId="66" type="noConversion"/>
  </si>
  <si>
    <t>政府债务限额</t>
    <phoneticPr fontId="97" type="noConversion"/>
  </si>
  <si>
    <t>金额</t>
    <phoneticPr fontId="37" type="noConversion"/>
  </si>
  <si>
    <t>1．2021年专项债务限额</t>
    <phoneticPr fontId="37" type="noConversion"/>
  </si>
  <si>
    <t>2．2022年新增专项债务限额</t>
    <phoneticPr fontId="66" type="noConversion"/>
  </si>
  <si>
    <t>3. 2022年收回专项债务限额</t>
    <phoneticPr fontId="66" type="noConversion"/>
  </si>
  <si>
    <t>4. 2022年再融资债券下达专项债务限额</t>
    <phoneticPr fontId="66" type="noConversion"/>
  </si>
  <si>
    <t>5．2022年专项债务限额</t>
    <phoneticPr fontId="66" type="noConversion"/>
  </si>
  <si>
    <t>附表5-5</t>
    <phoneticPr fontId="37" type="noConversion"/>
  </si>
  <si>
    <t>2022年度地方政府债务限额余额情况表</t>
    <phoneticPr fontId="37" type="noConversion"/>
  </si>
  <si>
    <t>地区</t>
  </si>
  <si>
    <t>2022年地方政府债务限额</t>
    <phoneticPr fontId="37" type="noConversion"/>
  </si>
  <si>
    <t>2022年政府债务余额预计执行数</t>
    <phoneticPr fontId="37" type="noConversion"/>
  </si>
  <si>
    <t>一般债务</t>
  </si>
  <si>
    <t>专项债务</t>
  </si>
  <si>
    <t>小 计</t>
  </si>
  <si>
    <t>三明市</t>
  </si>
  <si>
    <t>三明市本级</t>
  </si>
  <si>
    <t>沙县区</t>
  </si>
  <si>
    <t>二、公共安全支出</t>
    <phoneticPr fontId="37" type="noConversion"/>
  </si>
  <si>
    <t>三、教育支出</t>
    <phoneticPr fontId="37" type="noConversion"/>
  </si>
  <si>
    <t>四、科学技术支出</t>
    <phoneticPr fontId="37" type="noConversion"/>
  </si>
  <si>
    <t>五、文化体育与传媒支出</t>
    <phoneticPr fontId="37" type="noConversion"/>
  </si>
  <si>
    <t>六、社会保障和就业支出</t>
    <phoneticPr fontId="37" type="noConversion"/>
  </si>
  <si>
    <t>七、卫生健康支出</t>
    <phoneticPr fontId="37" type="noConversion"/>
  </si>
  <si>
    <t>八、节能环保支出</t>
    <phoneticPr fontId="37" type="noConversion"/>
  </si>
  <si>
    <t>九、城乡社区支出</t>
    <phoneticPr fontId="37" type="noConversion"/>
  </si>
  <si>
    <t>十、农林水支出</t>
    <phoneticPr fontId="37" type="noConversion"/>
  </si>
  <si>
    <t>十一、交通运输支出</t>
    <phoneticPr fontId="37" type="noConversion"/>
  </si>
  <si>
    <t>十二、资源勘探工业信息等支出</t>
    <phoneticPr fontId="37" type="noConversion"/>
  </si>
  <si>
    <t>十三、商业服务业等支出</t>
    <phoneticPr fontId="37" type="noConversion"/>
  </si>
  <si>
    <t>十四、金融支出</t>
    <phoneticPr fontId="37" type="noConversion"/>
  </si>
  <si>
    <t>十五、援助其他地区支出</t>
    <phoneticPr fontId="37" type="noConversion"/>
  </si>
  <si>
    <t>十六、自然资源海洋气象等支出</t>
    <phoneticPr fontId="37" type="noConversion"/>
  </si>
  <si>
    <t>十七、住房保障支出</t>
    <phoneticPr fontId="37" type="noConversion"/>
  </si>
  <si>
    <t>十八、粮油物资储备支出</t>
    <phoneticPr fontId="37" type="noConversion"/>
  </si>
  <si>
    <t>十九、灾害防治及应急管理支出</t>
    <phoneticPr fontId="37" type="noConversion"/>
  </si>
  <si>
    <t>二十、预备费</t>
    <phoneticPr fontId="37" type="noConversion"/>
  </si>
  <si>
    <t>二十一、其他支出</t>
    <phoneticPr fontId="37" type="noConversion"/>
  </si>
  <si>
    <t>二十二、债务付息支出</t>
    <phoneticPr fontId="37" type="noConversion"/>
  </si>
  <si>
    <t>二十三、债务发行费用支出</t>
    <phoneticPr fontId="37" type="noConversion"/>
  </si>
  <si>
    <t>二、</t>
    <phoneticPr fontId="37" type="noConversion"/>
  </si>
  <si>
    <t>三、</t>
    <phoneticPr fontId="37" type="noConversion"/>
  </si>
  <si>
    <t>四、</t>
    <phoneticPr fontId="37" type="noConversion"/>
  </si>
  <si>
    <t>五、</t>
    <phoneticPr fontId="37" type="noConversion"/>
  </si>
  <si>
    <t>六、</t>
    <phoneticPr fontId="37" type="noConversion"/>
  </si>
  <si>
    <t>七、</t>
    <phoneticPr fontId="37" type="noConversion"/>
  </si>
  <si>
    <t>八、</t>
    <phoneticPr fontId="37" type="noConversion"/>
  </si>
  <si>
    <t>九、</t>
    <phoneticPr fontId="37" type="noConversion"/>
  </si>
  <si>
    <t>十、</t>
    <phoneticPr fontId="37" type="noConversion"/>
  </si>
  <si>
    <t>十一、</t>
    <phoneticPr fontId="37" type="noConversion"/>
  </si>
  <si>
    <t>十二、</t>
    <phoneticPr fontId="37" type="noConversion"/>
  </si>
  <si>
    <t>十三、</t>
    <phoneticPr fontId="37" type="noConversion"/>
  </si>
  <si>
    <t>十四、</t>
    <phoneticPr fontId="37" type="noConversion"/>
  </si>
  <si>
    <t>十五、</t>
    <phoneticPr fontId="37" type="noConversion"/>
  </si>
  <si>
    <t>十六、</t>
    <phoneticPr fontId="37" type="noConversion"/>
  </si>
  <si>
    <t>十七、</t>
    <phoneticPr fontId="37" type="noConversion"/>
  </si>
  <si>
    <t>十八、</t>
    <phoneticPr fontId="37" type="noConversion"/>
  </si>
  <si>
    <t>十九、</t>
    <phoneticPr fontId="37" type="noConversion"/>
  </si>
  <si>
    <t>二十、</t>
    <phoneticPr fontId="37" type="noConversion"/>
  </si>
  <si>
    <t>二十一、</t>
    <phoneticPr fontId="37" type="noConversion"/>
  </si>
  <si>
    <t>二十二、</t>
    <phoneticPr fontId="3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</si>
</sst>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6"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  <numFmt numFmtId="176" formatCode="_-&quot;$&quot;* #,##0_-;\-&quot;$&quot;* #,##0_-;_-&quot;$&quot;* &quot;-&quot;_-;_-@_-"/>
    <numFmt numFmtId="177" formatCode="#,##0;\-#,##0;&quot;-&quot;"/>
    <numFmt numFmtId="178" formatCode="_-* #,##0.00_-;\-* #,##0.00_-;_-* &quot;-&quot;??_-;_-@_-"/>
    <numFmt numFmtId="179" formatCode="\$#,##0.00;\(\$#,##0.00\)"/>
    <numFmt numFmtId="180" formatCode="_-* #,##0_-;\-* #,##0_-;_-* &quot;-&quot;_-;_-@_-"/>
    <numFmt numFmtId="181" formatCode="#,##0.000_ "/>
    <numFmt numFmtId="182" formatCode="#,##0;\(#,##0\)"/>
    <numFmt numFmtId="183" formatCode="_ \¥* #,##0.00_ ;_ \¥* \-#,##0.00_ ;_ \¥* &quot;-&quot;??_ ;_ @_ "/>
    <numFmt numFmtId="184" formatCode="_(&quot;$&quot;* #,##0.00_);_(&quot;$&quot;* \(#,##0.00\);_(&quot;$&quot;* &quot;-&quot;??_);_(@_)"/>
    <numFmt numFmtId="185" formatCode="0.0"/>
    <numFmt numFmtId="186" formatCode="\$#,##0;\(\$#,##0\)"/>
    <numFmt numFmtId="187" formatCode="_(* #,##0.00_);_(* \(#,##0.00\);_(* &quot;-&quot;??_);_(@_)"/>
    <numFmt numFmtId="188" formatCode="_-* #,##0.0000_-;\-* #,##0.0000_-;_-* &quot;-&quot;??_-;_-@_-"/>
    <numFmt numFmtId="189" formatCode="_-&quot;¥&quot;* #,##0_-;\-&quot;¥&quot;* #,##0_-;_-&quot;¥&quot;* &quot;-&quot;_-;_-@_-"/>
    <numFmt numFmtId="190" formatCode="0.00_ "/>
    <numFmt numFmtId="191" formatCode="#,##0_ ;[Red]\-#,##0\ "/>
    <numFmt numFmtId="192" formatCode="#,##0_ "/>
    <numFmt numFmtId="193" formatCode="0_ "/>
    <numFmt numFmtId="194" formatCode="0_);[Red]\(0\)"/>
    <numFmt numFmtId="195" formatCode="0.00000000000_ "/>
    <numFmt numFmtId="196" formatCode="0.00000000"/>
    <numFmt numFmtId="197" formatCode="0.000000000000_ "/>
    <numFmt numFmtId="198" formatCode="0.000000000_ "/>
  </numFmts>
  <fonts count="106">
    <font>
      <sz val="12"/>
      <name val="宋体"/>
      <charset val="134"/>
    </font>
    <font>
      <sz val="11"/>
      <color theme="1"/>
      <name val="宋体"/>
      <family val="2"/>
      <charset val="134"/>
      <scheme val="minor"/>
    </font>
    <font>
      <sz val="12"/>
      <name val="宋体"/>
      <family val="3"/>
      <charset val="134"/>
    </font>
    <font>
      <b/>
      <sz val="12"/>
      <name val="宋体"/>
      <family val="3"/>
      <charset val="134"/>
    </font>
    <font>
      <sz val="12"/>
      <name val="宋体"/>
      <family val="7"/>
      <charset val="134"/>
    </font>
    <font>
      <sz val="12"/>
      <name val="黑体"/>
      <family val="3"/>
      <charset val="134"/>
    </font>
    <font>
      <sz val="11"/>
      <color indexed="8"/>
      <name val="宋体"/>
      <family val="3"/>
      <charset val="134"/>
    </font>
    <font>
      <sz val="10"/>
      <name val="宋体"/>
      <family val="3"/>
      <charset val="134"/>
    </font>
    <font>
      <sz val="11"/>
      <name val="宋体"/>
      <family val="3"/>
      <charset val="134"/>
    </font>
    <font>
      <sz val="9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6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42"/>
      <name val="宋体"/>
      <family val="3"/>
      <charset val="134"/>
    </font>
    <font>
      <sz val="10"/>
      <name val="Arial"/>
      <family val="2"/>
      <charset val="134"/>
    </font>
    <font>
      <sz val="11"/>
      <color indexed="52"/>
      <name val="宋体"/>
      <family val="3"/>
      <charset val="134"/>
    </font>
    <font>
      <sz val="11"/>
      <color indexed="10"/>
      <name val="宋体"/>
      <family val="3"/>
      <charset val="134"/>
    </font>
    <font>
      <b/>
      <sz val="18"/>
      <color indexed="62"/>
      <name val="宋体"/>
      <family val="3"/>
      <charset val="134"/>
    </font>
    <font>
      <b/>
      <sz val="11"/>
      <color indexed="52"/>
      <name val="宋体"/>
      <family val="3"/>
      <charset val="134"/>
    </font>
    <font>
      <u/>
      <sz val="12"/>
      <color indexed="12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7"/>
      <name val="宋体"/>
      <family val="3"/>
      <charset val="134"/>
    </font>
    <font>
      <u/>
      <sz val="12"/>
      <color indexed="3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20"/>
      <name val="宋体"/>
      <family val="3"/>
      <charset val="134"/>
    </font>
    <font>
      <b/>
      <sz val="11"/>
      <color indexed="9"/>
      <name val="宋体"/>
      <family val="3"/>
      <charset val="134"/>
    </font>
    <font>
      <b/>
      <sz val="11"/>
      <color indexed="42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62"/>
      <name val="宋体"/>
      <family val="3"/>
      <charset val="134"/>
    </font>
    <font>
      <b/>
      <sz val="15"/>
      <color indexed="56"/>
      <name val="宋体"/>
      <family val="3"/>
      <charset val="134"/>
    </font>
    <font>
      <sz val="12"/>
      <name val="奔覆眉"/>
      <family val="3"/>
      <charset val="134"/>
    </font>
    <font>
      <sz val="12"/>
      <name val="Helv"/>
      <family val="2"/>
      <charset val="134"/>
    </font>
    <font>
      <b/>
      <sz val="13"/>
      <color indexed="62"/>
      <name val="宋体"/>
      <family val="3"/>
      <charset val="134"/>
    </font>
    <font>
      <sz val="7"/>
      <name val="Small Fonts"/>
      <family val="2"/>
      <charset val="134"/>
    </font>
    <font>
      <sz val="11"/>
      <color indexed="60"/>
      <name val="宋体"/>
      <family val="3"/>
      <charset val="134"/>
    </font>
    <font>
      <sz val="9"/>
      <name val="宋体"/>
      <family val="3"/>
      <charset val="134"/>
    </font>
    <font>
      <b/>
      <sz val="15"/>
      <color indexed="62"/>
      <name val="宋体"/>
      <family val="3"/>
      <charset val="134"/>
    </font>
    <font>
      <sz val="12"/>
      <name val="Arial"/>
      <family val="2"/>
      <charset val="134"/>
    </font>
    <font>
      <sz val="10"/>
      <color indexed="8"/>
      <name val="Arial"/>
      <family val="2"/>
      <charset val="134"/>
    </font>
    <font>
      <sz val="10"/>
      <name val="Times New Roman"/>
      <family val="1"/>
      <charset val="134"/>
    </font>
    <font>
      <b/>
      <sz val="12"/>
      <name val="Arial"/>
      <family val="2"/>
      <charset val="134"/>
    </font>
    <font>
      <b/>
      <sz val="18"/>
      <name val="Arial"/>
      <family val="2"/>
      <charset val="134"/>
    </font>
    <font>
      <b/>
      <sz val="21"/>
      <name val="楷体_GB2312"/>
      <family val="3"/>
      <charset val="134"/>
    </font>
    <font>
      <sz val="12"/>
      <name val="Courier"/>
      <family val="3"/>
      <charset val="134"/>
    </font>
    <font>
      <sz val="10"/>
      <name val="MS Sans Serif"/>
      <family val="2"/>
      <charset val="134"/>
    </font>
    <font>
      <sz val="12"/>
      <name val="宋体"/>
      <family val="3"/>
      <charset val="134"/>
    </font>
    <font>
      <b/>
      <sz val="18"/>
      <color indexed="56"/>
      <name val="宋体"/>
      <family val="3"/>
      <charset val="134"/>
    </font>
    <font>
      <sz val="12"/>
      <color indexed="20"/>
      <name val="宋体"/>
      <family val="3"/>
      <charset val="134"/>
    </font>
    <font>
      <sz val="12"/>
      <color indexed="17"/>
      <name val="宋体"/>
      <family val="3"/>
      <charset val="134"/>
    </font>
    <font>
      <sz val="10"/>
      <color indexed="8"/>
      <name val="Arial"/>
      <family val="2"/>
    </font>
    <font>
      <sz val="10"/>
      <name val="Arial"/>
      <family val="2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b/>
      <sz val="11"/>
      <color indexed="8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name val="宋体"/>
      <family val="3"/>
      <charset val="134"/>
      <scheme val="major"/>
    </font>
    <font>
      <b/>
      <sz val="11"/>
      <name val="宋体"/>
      <family val="3"/>
      <charset val="134"/>
      <scheme val="major"/>
    </font>
    <font>
      <sz val="12"/>
      <color indexed="8"/>
      <name val="宋体"/>
      <family val="3"/>
      <charset val="134"/>
    </font>
    <font>
      <sz val="18"/>
      <color indexed="54"/>
      <name val="宋体"/>
      <family val="3"/>
      <charset val="134"/>
    </font>
    <font>
      <b/>
      <sz val="15"/>
      <color indexed="54"/>
      <name val="宋体"/>
      <family val="3"/>
      <charset val="134"/>
    </font>
    <font>
      <b/>
      <sz val="13"/>
      <color indexed="54"/>
      <name val="宋体"/>
      <family val="3"/>
      <charset val="134"/>
    </font>
    <font>
      <b/>
      <sz val="11"/>
      <color indexed="54"/>
      <name val="宋体"/>
      <family val="3"/>
      <charset val="134"/>
    </font>
    <font>
      <sz val="9"/>
      <name val="宋体"/>
      <family val="2"/>
      <charset val="134"/>
      <scheme val="minor"/>
    </font>
    <font>
      <sz val="12"/>
      <color indexed="9"/>
      <name val="宋体"/>
      <family val="3"/>
      <charset val="134"/>
    </font>
    <font>
      <b/>
      <sz val="11"/>
      <name val="宋体"/>
      <family val="3"/>
      <charset val="134"/>
    </font>
    <font>
      <sz val="10"/>
      <name val="宋体"/>
      <family val="3"/>
      <charset val="134"/>
      <scheme val="minor"/>
    </font>
    <font>
      <sz val="10"/>
      <color indexed="64"/>
      <name val="Arial"/>
      <family val="2"/>
    </font>
    <font>
      <b/>
      <sz val="18"/>
      <color theme="3"/>
      <name val="宋体"/>
      <family val="3"/>
      <charset val="134"/>
      <scheme val="major"/>
    </font>
    <font>
      <sz val="11"/>
      <color indexed="64"/>
      <name val="宋体"/>
      <family val="3"/>
      <charset val="134"/>
      <scheme val="minor"/>
    </font>
    <font>
      <sz val="7"/>
      <name val="Small Fonts"/>
      <family val="2"/>
    </font>
    <font>
      <sz val="12"/>
      <name val="Courier"/>
      <family val="3"/>
    </font>
    <font>
      <sz val="10"/>
      <name val="Times New Roman"/>
      <family val="1"/>
    </font>
    <font>
      <sz val="12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b/>
      <sz val="12"/>
      <color indexed="8"/>
      <name val="宋体"/>
      <family val="3"/>
      <charset val="134"/>
      <scheme val="minor"/>
    </font>
    <font>
      <sz val="16"/>
      <name val="宋体"/>
      <family val="3"/>
      <charset val="134"/>
      <scheme val="minor"/>
    </font>
    <font>
      <sz val="12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2"/>
      <name val="华文楷体"/>
      <family val="3"/>
      <charset val="134"/>
    </font>
    <font>
      <b/>
      <sz val="11"/>
      <color indexed="64"/>
      <name val="宋体"/>
      <family val="3"/>
      <charset val="134"/>
      <scheme val="minor"/>
    </font>
    <font>
      <b/>
      <sz val="12"/>
      <name val="楷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12"/>
      <color indexed="8"/>
      <name val="宋体"/>
      <family val="3"/>
      <charset val="134"/>
      <scheme val="minor"/>
    </font>
    <font>
      <sz val="9"/>
      <color indexed="8"/>
      <name val="宋体"/>
      <family val="3"/>
      <charset val="134"/>
      <scheme val="minor"/>
    </font>
    <font>
      <sz val="9"/>
      <color indexed="64"/>
      <name val="宋体"/>
      <family val="3"/>
      <charset val="134"/>
      <scheme val="minor"/>
    </font>
    <font>
      <b/>
      <sz val="18"/>
      <name val="方正小标宋_GBK"/>
      <charset val="134"/>
    </font>
    <font>
      <b/>
      <sz val="16"/>
      <name val="宋体"/>
      <family val="3"/>
      <charset val="134"/>
      <scheme val="minor"/>
    </font>
    <font>
      <b/>
      <sz val="16"/>
      <color indexed="8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b/>
      <sz val="16"/>
      <color indexed="8"/>
      <name val="方正小标宋_GBK"/>
      <charset val="134"/>
    </font>
    <font>
      <b/>
      <sz val="16"/>
      <name val="方正小标宋_GBK"/>
      <charset val="134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2"/>
      <color rgb="FFFF0000"/>
      <name val="宋体"/>
      <family val="3"/>
      <charset val="134"/>
      <scheme val="minor"/>
    </font>
    <font>
      <sz val="12"/>
      <color rgb="FFFF0000"/>
      <name val="宋体"/>
      <family val="3"/>
      <charset val="134"/>
    </font>
    <font>
      <b/>
      <sz val="16"/>
      <color theme="1"/>
      <name val="方正小标宋_GBK"/>
      <family val="4"/>
      <charset val="134"/>
    </font>
    <font>
      <b/>
      <sz val="16"/>
      <color theme="1"/>
      <name val="方正小标宋_GBK"/>
      <charset val="134"/>
    </font>
    <font>
      <sz val="11"/>
      <color theme="1"/>
      <name val="Arial"/>
      <family val="2"/>
    </font>
    <font>
      <sz val="11"/>
      <color theme="1"/>
      <name val="宋体"/>
      <family val="3"/>
      <charset val="134"/>
    </font>
    <font>
      <b/>
      <sz val="16"/>
      <name val="宋体"/>
      <family val="3"/>
      <charset val="134"/>
    </font>
  </fonts>
  <fills count="5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indexed="54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49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4217">
    <xf numFmtId="0" fontId="0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0" borderId="6" applyNumberFormat="0" applyFill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8" fillId="0" borderId="1">
      <alignment horizontal="distributed" vertical="center" wrapText="1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12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7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8" borderId="8" applyNumberForma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12" borderId="0" applyNumberFormat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8" fontId="4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5" fillId="0" borderId="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8" fillId="0" borderId="1">
      <alignment horizontal="distributed" vertical="center" wrapText="1"/>
    </xf>
    <xf numFmtId="0" fontId="2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8" fontId="4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8" fillId="0" borderId="1">
      <alignment horizontal="distributed" vertical="center" wrapText="1"/>
    </xf>
    <xf numFmtId="0" fontId="2" fillId="0" borderId="0">
      <alignment vertical="center"/>
    </xf>
    <xf numFmtId="0" fontId="12" fillId="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2" fillId="0" borderId="0">
      <alignment vertical="center"/>
    </xf>
    <xf numFmtId="183" fontId="4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2" fillId="0" borderId="0">
      <alignment vertical="center"/>
    </xf>
    <xf numFmtId="183" fontId="4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7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10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2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9" fontId="4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47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6" fillId="2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2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5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2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2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2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17" borderId="7" applyNumberFormat="0" applyAlignment="0" applyProtection="0">
      <alignment vertical="center"/>
    </xf>
    <xf numFmtId="0" fontId="2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7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12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2" fillId="0" borderId="0" applyNumberFormat="0" applyFill="0" applyBorder="0" applyAlignment="0" applyProtection="0">
      <alignment vertical="top"/>
      <protection locked="0"/>
    </xf>
    <xf numFmtId="0" fontId="21" fillId="10" borderId="0" applyNumberFormat="0" applyBorder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8" fillId="6" borderId="5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8" fillId="6" borderId="5" applyNumberForma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8" fillId="6" borderId="5" applyNumberFormat="0" applyAlignment="0" applyProtection="0">
      <alignment vertical="center"/>
    </xf>
    <xf numFmtId="0" fontId="2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7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0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7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12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6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6" fillId="21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0" fillId="0" borderId="10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6" fillId="21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7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7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7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7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7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7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8" fillId="6" borderId="5" applyNumberFormat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28" fillId="6" borderId="5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2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2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27" fillId="8" borderId="8" applyNumberForma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2" fillId="0" borderId="0">
      <alignment vertical="center"/>
    </xf>
    <xf numFmtId="0" fontId="6" fillId="21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2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1" fontId="8" fillId="0" borderId="1">
      <alignment vertical="center"/>
      <protection locked="0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37" fontId="35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47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2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47" fillId="21" borderId="11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47" fillId="21" borderId="11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47" fillId="21" borderId="11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6" fillId="6" borderId="0" applyNumberFormat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6" fillId="6" borderId="0" applyNumberFormat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1" fontId="8" fillId="0" borderId="1">
      <alignment vertical="center"/>
      <protection locked="0"/>
    </xf>
    <xf numFmtId="0" fontId="6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6" fillId="9" borderId="0" applyNumberFormat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47" fillId="21" borderId="11" applyNumberFormat="0" applyFont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47" fillId="21" borderId="11" applyNumberFormat="0" applyFont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47" fillId="21" borderId="11" applyNumberFormat="0" applyFont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8" fillId="6" borderId="5" applyNumberFormat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8" fillId="6" borderId="5" applyNumberForma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8" fillId="6" borderId="5" applyNumberForma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47" fillId="21" borderId="11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47" fillId="21" borderId="11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47" fillId="21" borderId="11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47" fillId="21" borderId="11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3" fillId="19" borderId="0" applyNumberFormat="0" applyBorder="0" applyAlignment="0" applyProtection="0">
      <alignment vertical="center"/>
    </xf>
    <xf numFmtId="0" fontId="18" fillId="8" borderId="5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3" fillId="1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3" fillId="19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5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5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47" fillId="21" borderId="11" applyNumberFormat="0" applyFont="0" applyAlignment="0" applyProtection="0">
      <alignment vertical="center"/>
    </xf>
    <xf numFmtId="0" fontId="25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6" fillId="17" borderId="7" applyNumberForma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6" fillId="17" borderId="7" applyNumberForma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12" fillId="5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5" fillId="17" borderId="7" applyNumberFormat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5" fillId="17" borderId="7" applyNumberFormat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5" fillId="17" borderId="7" applyNumberFormat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5" fillId="17" borderId="7" applyNumberFormat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185" fontId="8" fillId="0" borderId="1">
      <alignment vertical="center"/>
      <protection locked="0"/>
    </xf>
    <xf numFmtId="43" fontId="47" fillId="0" borderId="0" applyFont="0" applyFill="0" applyBorder="0" applyAlignment="0" applyProtection="0">
      <alignment vertical="center"/>
    </xf>
    <xf numFmtId="0" fontId="25" fillId="17" borderId="7" applyNumberFormat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185" fontId="8" fillId="0" borderId="1">
      <alignment vertical="center"/>
      <protection locked="0"/>
    </xf>
    <xf numFmtId="0" fontId="12" fillId="23" borderId="0" applyNumberFormat="0" applyBorder="0" applyAlignment="0" applyProtection="0">
      <alignment vertical="center"/>
    </xf>
    <xf numFmtId="185" fontId="8" fillId="0" borderId="1">
      <alignment vertical="center"/>
      <protection locked="0"/>
    </xf>
    <xf numFmtId="0" fontId="12" fillId="23" borderId="0" applyNumberFormat="0" applyBorder="0" applyAlignment="0" applyProtection="0">
      <alignment vertical="center"/>
    </xf>
    <xf numFmtId="9" fontId="47" fillId="0" borderId="0" applyFont="0" applyFill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9" fontId="47" fillId="0" borderId="0" applyFont="0" applyFill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185" fontId="8" fillId="0" borderId="1">
      <alignment vertical="center"/>
      <protection locked="0"/>
    </xf>
    <xf numFmtId="0" fontId="12" fillId="23" borderId="0" applyNumberFormat="0" applyBorder="0" applyAlignment="0" applyProtection="0">
      <alignment vertical="center"/>
    </xf>
    <xf numFmtId="9" fontId="47" fillId="0" borderId="0" applyFont="0" applyFill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2" fillId="23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12" fillId="23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177" fontId="40" fillId="0" borderId="0" applyFill="0" applyBorder="0" applyAlignment="0">
      <alignment vertical="center"/>
    </xf>
    <xf numFmtId="0" fontId="6" fillId="0" borderId="0">
      <alignment vertical="center"/>
    </xf>
    <xf numFmtId="41" fontId="47" fillId="0" borderId="0" applyFont="0" applyFill="0" applyBorder="0" applyAlignment="0" applyProtection="0">
      <alignment vertical="center"/>
    </xf>
    <xf numFmtId="182" fontId="41" fillId="0" borderId="0">
      <alignment vertical="center"/>
    </xf>
    <xf numFmtId="0" fontId="2" fillId="0" borderId="0">
      <alignment vertical="center"/>
    </xf>
    <xf numFmtId="187" fontId="47" fillId="0" borderId="0" applyFont="0" applyFill="0" applyBorder="0" applyAlignment="0" applyProtection="0">
      <alignment vertical="center"/>
    </xf>
    <xf numFmtId="176" fontId="47" fillId="0" borderId="0" applyFont="0" applyFill="0" applyBorder="0" applyAlignment="0" applyProtection="0">
      <alignment vertical="center"/>
    </xf>
    <xf numFmtId="184" fontId="47" fillId="0" borderId="0" applyFont="0" applyFill="0" applyBorder="0" applyAlignment="0" applyProtection="0">
      <alignment vertical="center"/>
    </xf>
    <xf numFmtId="0" fontId="18" fillId="2" borderId="5" applyNumberFormat="0" applyAlignment="0" applyProtection="0">
      <alignment vertical="center"/>
    </xf>
    <xf numFmtId="179" fontId="41" fillId="0" borderId="0">
      <alignment vertical="center"/>
    </xf>
    <xf numFmtId="0" fontId="39" fillId="0" borderId="0" applyProtection="0">
      <alignment vertical="center"/>
    </xf>
    <xf numFmtId="186" fontId="41" fillId="0" borderId="0">
      <alignment vertical="center"/>
    </xf>
    <xf numFmtId="183" fontId="4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2" fontId="39" fillId="0" borderId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42" fillId="0" borderId="15" applyNumberFormat="0" applyAlignment="0" applyProtection="0">
      <alignment horizontal="left" vertical="center"/>
    </xf>
    <xf numFmtId="0" fontId="13" fillId="5" borderId="0" applyNumberFormat="0" applyBorder="0" applyAlignment="0" applyProtection="0">
      <alignment vertical="center"/>
    </xf>
    <xf numFmtId="0" fontId="42" fillId="0" borderId="2">
      <alignment horizontal="left" vertical="center"/>
    </xf>
    <xf numFmtId="0" fontId="43" fillId="0" borderId="0" applyProtection="0">
      <alignment vertical="center"/>
    </xf>
    <xf numFmtId="0" fontId="42" fillId="0" borderId="0" applyProtection="0">
      <alignment vertical="center"/>
    </xf>
    <xf numFmtId="0" fontId="6" fillId="0" borderId="0">
      <alignment vertical="center"/>
    </xf>
    <xf numFmtId="1" fontId="14" fillId="0" borderId="0">
      <alignment vertical="center"/>
    </xf>
    <xf numFmtId="0" fontId="39" fillId="0" borderId="16" applyProtection="0">
      <alignment vertical="center"/>
    </xf>
    <xf numFmtId="9" fontId="47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7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7" fillId="0" borderId="0" applyFon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2" fillId="0" borderId="0">
      <alignment vertical="center"/>
    </xf>
    <xf numFmtId="9" fontId="4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7" fillId="0" borderId="0" applyFon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9" fontId="47" fillId="0" borderId="0" applyFon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9" fontId="4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7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7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7" fillId="0" borderId="0" applyFon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9" fontId="4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7" fillId="0" borderId="0" applyFont="0" applyFill="0" applyBorder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9" fontId="4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7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7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>
      <alignment vertical="center"/>
    </xf>
    <xf numFmtId="0" fontId="44" fillId="0" borderId="0">
      <alignment horizontal="centerContinuous" vertical="center"/>
    </xf>
    <xf numFmtId="0" fontId="31" fillId="0" borderId="12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18" fillId="2" borderId="5" applyNumberFormat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18" fillId="2" borderId="5" applyNumberFormat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27" fillId="8" borderId="8" applyNumberFormat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8" fillId="8" borderId="5" applyNumberFormat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top"/>
      <protection locked="0"/>
    </xf>
    <xf numFmtId="0" fontId="21" fillId="10" borderId="0" applyNumberFormat="0" applyBorder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top"/>
      <protection locked="0"/>
    </xf>
    <xf numFmtId="0" fontId="21" fillId="10" borderId="0" applyNumberFormat="0" applyBorder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181" fontId="47" fillId="0" borderId="0" applyFont="0" applyFill="0" applyBorder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7" fillId="2" borderId="8" applyNumberFormat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44" fillId="0" borderId="0">
      <alignment horizontal="centerContinuous"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8" fillId="0" borderId="1">
      <alignment horizontal="distributed" vertical="center" wrapText="1"/>
    </xf>
    <xf numFmtId="0" fontId="8" fillId="0" borderId="1">
      <alignment horizontal="distributed" vertical="center" wrapText="1"/>
    </xf>
    <xf numFmtId="0" fontId="8" fillId="0" borderId="1">
      <alignment horizontal="distributed" vertical="center" wrapText="1"/>
    </xf>
    <xf numFmtId="0" fontId="8" fillId="0" borderId="1">
      <alignment horizontal="distributed" vertical="center" wrapText="1"/>
    </xf>
    <xf numFmtId="0" fontId="8" fillId="0" borderId="1">
      <alignment horizontal="distributed" vertical="center" wrapText="1"/>
    </xf>
    <xf numFmtId="0" fontId="8" fillId="0" borderId="1">
      <alignment horizontal="distributed" vertical="center" wrapText="1"/>
    </xf>
    <xf numFmtId="0" fontId="8" fillId="0" borderId="1">
      <alignment horizontal="distributed" vertical="center" wrapText="1"/>
    </xf>
    <xf numFmtId="0" fontId="8" fillId="0" borderId="1">
      <alignment horizontal="distributed" vertical="center" wrapText="1"/>
    </xf>
    <xf numFmtId="43" fontId="47" fillId="0" borderId="0" applyFont="0" applyFill="0" applyBorder="0" applyAlignment="0" applyProtection="0">
      <alignment vertical="center"/>
    </xf>
    <xf numFmtId="0" fontId="8" fillId="0" borderId="1">
      <alignment horizontal="distributed" vertical="center" wrapText="1"/>
    </xf>
    <xf numFmtId="43" fontId="47" fillId="0" borderId="0" applyFont="0" applyFill="0" applyBorder="0" applyAlignment="0" applyProtection="0">
      <alignment vertical="center"/>
    </xf>
    <xf numFmtId="0" fontId="8" fillId="0" borderId="1">
      <alignment horizontal="distributed" vertical="center" wrapText="1"/>
    </xf>
    <xf numFmtId="0" fontId="8" fillId="0" borderId="1">
      <alignment horizontal="distributed" vertical="center" wrapText="1"/>
    </xf>
    <xf numFmtId="43" fontId="47" fillId="0" borderId="0" applyFont="0" applyFill="0" applyBorder="0" applyAlignment="0" applyProtection="0">
      <alignment vertical="center"/>
    </xf>
    <xf numFmtId="0" fontId="8" fillId="0" borderId="1">
      <alignment horizontal="distributed" vertical="center" wrapText="1"/>
    </xf>
    <xf numFmtId="0" fontId="8" fillId="0" borderId="1">
      <alignment horizontal="distributed" vertical="center" wrapText="1"/>
    </xf>
    <xf numFmtId="0" fontId="24" fillId="15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4" applyNumberFormat="0" applyFill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83" fontId="4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1" fillId="10" borderId="0" applyNumberFormat="0" applyBorder="0" applyAlignment="0" applyProtection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1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47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9" fillId="0" borderId="0">
      <alignment vertical="center"/>
    </xf>
    <xf numFmtId="0" fontId="2" fillId="0" borderId="0">
      <alignment vertical="center"/>
    </xf>
    <xf numFmtId="0" fontId="47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7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6" fillId="1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12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12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12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12" fillId="20" borderId="0" applyNumberFormat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2" fillId="16" borderId="0" applyNumberFormat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0" borderId="6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7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8" borderId="8" applyNumberFormat="0" applyAlignment="0" applyProtection="0">
      <alignment vertical="center"/>
    </xf>
    <xf numFmtId="0" fontId="2" fillId="0" borderId="0">
      <alignment vertical="center"/>
    </xf>
    <xf numFmtId="0" fontId="27" fillId="8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8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2" borderId="8" applyNumberFormat="0" applyAlignment="0" applyProtection="0">
      <alignment vertical="center"/>
    </xf>
    <xf numFmtId="0" fontId="2" fillId="0" borderId="0">
      <alignment vertical="center"/>
    </xf>
    <xf numFmtId="0" fontId="27" fillId="2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2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5" fontId="8" fillId="0" borderId="1">
      <alignment vertical="center"/>
      <protection locked="0"/>
    </xf>
    <xf numFmtId="0" fontId="26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5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8" fillId="6" borderId="5" applyNumberFormat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8" borderId="8" applyNumberFormat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8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2" fillId="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7" fillId="8" borderId="8" applyNumberFormat="0" applyAlignment="0" applyProtection="0">
      <alignment vertical="center"/>
    </xf>
    <xf numFmtId="0" fontId="2" fillId="0" borderId="0">
      <alignment vertical="center"/>
    </xf>
    <xf numFmtId="0" fontId="3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7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0" fontId="47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5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7" fillId="0" borderId="0" applyFont="0" applyFill="0" applyBorder="0" applyAlignment="0" applyProtection="0">
      <alignment vertical="center"/>
    </xf>
    <xf numFmtId="0" fontId="18" fillId="8" borderId="5" applyNumberFormat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top"/>
      <protection locked="0"/>
    </xf>
    <xf numFmtId="0" fontId="22" fillId="0" borderId="0" applyNumberFormat="0" applyFill="0" applyBorder="0" applyAlignment="0" applyProtection="0">
      <alignment vertical="top"/>
      <protection locked="0"/>
    </xf>
    <xf numFmtId="0" fontId="22" fillId="0" borderId="0" applyNumberFormat="0" applyFill="0" applyBorder="0" applyAlignment="0" applyProtection="0">
      <alignment vertical="top"/>
      <protection locked="0"/>
    </xf>
    <xf numFmtId="0" fontId="22" fillId="0" borderId="0" applyNumberFormat="0" applyFill="0" applyBorder="0" applyAlignment="0" applyProtection="0">
      <alignment vertical="top"/>
      <protection locked="0"/>
    </xf>
    <xf numFmtId="0" fontId="27" fillId="2" borderId="8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top"/>
      <protection locked="0"/>
    </xf>
    <xf numFmtId="0" fontId="22" fillId="0" borderId="0" applyNumberFormat="0" applyFill="0" applyBorder="0" applyAlignment="0" applyProtection="0">
      <alignment vertical="top"/>
      <protection locked="0"/>
    </xf>
    <xf numFmtId="0" fontId="22" fillId="0" borderId="0" applyNumberFormat="0" applyFill="0" applyBorder="0" applyAlignment="0" applyProtection="0">
      <alignment vertical="top"/>
      <protection locked="0"/>
    </xf>
    <xf numFmtId="0" fontId="22" fillId="0" borderId="0" applyNumberFormat="0" applyFill="0" applyBorder="0" applyAlignment="0" applyProtection="0">
      <alignment vertical="top"/>
      <protection locked="0"/>
    </xf>
    <xf numFmtId="0" fontId="22" fillId="0" borderId="0" applyNumberFormat="0" applyFill="0" applyBorder="0" applyAlignment="0" applyProtection="0">
      <alignment vertical="top"/>
      <protection locked="0"/>
    </xf>
    <xf numFmtId="0" fontId="22" fillId="0" borderId="0" applyNumberFormat="0" applyFill="0" applyBorder="0" applyAlignment="0" applyProtection="0">
      <alignment vertical="top"/>
      <protection locked="0"/>
    </xf>
    <xf numFmtId="0" fontId="10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0" fontId="18" fillId="2" borderId="5" applyNumberFormat="0" applyAlignment="0" applyProtection="0">
      <alignment vertical="center"/>
    </xf>
    <xf numFmtId="0" fontId="18" fillId="8" borderId="5" applyNumberFormat="0" applyAlignment="0" applyProtection="0">
      <alignment vertical="center"/>
    </xf>
    <xf numFmtId="0" fontId="18" fillId="8" borderId="5" applyNumberFormat="0" applyAlignment="0" applyProtection="0">
      <alignment vertical="center"/>
    </xf>
    <xf numFmtId="0" fontId="18" fillId="8" borderId="5" applyNumberFormat="0" applyAlignment="0" applyProtection="0">
      <alignment vertical="center"/>
    </xf>
    <xf numFmtId="0" fontId="18" fillId="8" borderId="5" applyNumberFormat="0" applyAlignment="0" applyProtection="0">
      <alignment vertical="center"/>
    </xf>
    <xf numFmtId="0" fontId="18" fillId="8" borderId="5" applyNumberFormat="0" applyAlignment="0" applyProtection="0">
      <alignment vertical="center"/>
    </xf>
    <xf numFmtId="0" fontId="18" fillId="2" borderId="5" applyNumberFormat="0" applyAlignment="0" applyProtection="0">
      <alignment vertical="center"/>
    </xf>
    <xf numFmtId="0" fontId="18" fillId="2" borderId="5" applyNumberFormat="0" applyAlignment="0" applyProtection="0">
      <alignment vertical="center"/>
    </xf>
    <xf numFmtId="0" fontId="18" fillId="2" borderId="5" applyNumberFormat="0" applyAlignment="0" applyProtection="0">
      <alignment vertical="center"/>
    </xf>
    <xf numFmtId="0" fontId="18" fillId="2" borderId="5" applyNumberFormat="0" applyAlignment="0" applyProtection="0">
      <alignment vertical="center"/>
    </xf>
    <xf numFmtId="0" fontId="18" fillId="8" borderId="5" applyNumberFormat="0" applyAlignment="0" applyProtection="0">
      <alignment vertical="center"/>
    </xf>
    <xf numFmtId="0" fontId="18" fillId="8" borderId="5" applyNumberFormat="0" applyAlignment="0" applyProtection="0">
      <alignment vertical="center"/>
    </xf>
    <xf numFmtId="0" fontId="18" fillId="8" borderId="5" applyNumberFormat="0" applyAlignment="0" applyProtection="0">
      <alignment vertical="center"/>
    </xf>
    <xf numFmtId="0" fontId="18" fillId="8" borderId="5" applyNumberFormat="0" applyAlignment="0" applyProtection="0">
      <alignment vertical="center"/>
    </xf>
    <xf numFmtId="0" fontId="18" fillId="8" borderId="5" applyNumberFormat="0" applyAlignment="0" applyProtection="0">
      <alignment vertical="center"/>
    </xf>
    <xf numFmtId="0" fontId="18" fillId="8" borderId="5" applyNumberFormat="0" applyAlignment="0" applyProtection="0">
      <alignment vertical="center"/>
    </xf>
    <xf numFmtId="0" fontId="18" fillId="8" borderId="5" applyNumberFormat="0" applyAlignment="0" applyProtection="0">
      <alignment vertical="center"/>
    </xf>
    <xf numFmtId="0" fontId="18" fillId="8" borderId="5" applyNumberFormat="0" applyAlignment="0" applyProtection="0">
      <alignment vertical="center"/>
    </xf>
    <xf numFmtId="0" fontId="18" fillId="8" borderId="5" applyNumberFormat="0" applyAlignment="0" applyProtection="0">
      <alignment vertical="center"/>
    </xf>
    <xf numFmtId="0" fontId="18" fillId="8" borderId="5" applyNumberFormat="0" applyAlignment="0" applyProtection="0">
      <alignment vertical="center"/>
    </xf>
    <xf numFmtId="0" fontId="18" fillId="8" borderId="5" applyNumberFormat="0" applyAlignment="0" applyProtection="0">
      <alignment vertical="center"/>
    </xf>
    <xf numFmtId="0" fontId="18" fillId="8" borderId="5" applyNumberFormat="0" applyAlignment="0" applyProtection="0">
      <alignment vertical="center"/>
    </xf>
    <xf numFmtId="0" fontId="18" fillId="8" borderId="5" applyNumberFormat="0" applyAlignment="0" applyProtection="0">
      <alignment vertical="center"/>
    </xf>
    <xf numFmtId="0" fontId="18" fillId="8" borderId="5" applyNumberFormat="0" applyAlignment="0" applyProtection="0">
      <alignment vertical="center"/>
    </xf>
    <xf numFmtId="0" fontId="18" fillId="2" borderId="5" applyNumberFormat="0" applyAlignment="0" applyProtection="0">
      <alignment vertical="center"/>
    </xf>
    <xf numFmtId="0" fontId="18" fillId="2" borderId="5" applyNumberFormat="0" applyAlignment="0" applyProtection="0">
      <alignment vertical="center"/>
    </xf>
    <xf numFmtId="0" fontId="25" fillId="17" borderId="7" applyNumberFormat="0" applyAlignment="0" applyProtection="0">
      <alignment vertical="center"/>
    </xf>
    <xf numFmtId="0" fontId="26" fillId="17" borderId="7" applyNumberFormat="0" applyAlignment="0" applyProtection="0">
      <alignment vertical="center"/>
    </xf>
    <xf numFmtId="0" fontId="47" fillId="21" borderId="11" applyNumberFormat="0" applyFont="0" applyAlignment="0" applyProtection="0">
      <alignment vertical="center"/>
    </xf>
    <xf numFmtId="0" fontId="26" fillId="17" borderId="7" applyNumberFormat="0" applyAlignment="0" applyProtection="0">
      <alignment vertical="center"/>
    </xf>
    <xf numFmtId="0" fontId="26" fillId="17" borderId="7" applyNumberFormat="0" applyAlignment="0" applyProtection="0">
      <alignment vertical="center"/>
    </xf>
    <xf numFmtId="0" fontId="26" fillId="17" borderId="7" applyNumberFormat="0" applyAlignment="0" applyProtection="0">
      <alignment vertical="center"/>
    </xf>
    <xf numFmtId="0" fontId="25" fillId="17" borderId="7" applyNumberFormat="0" applyAlignment="0" applyProtection="0">
      <alignment vertical="center"/>
    </xf>
    <xf numFmtId="0" fontId="25" fillId="17" borderId="7" applyNumberFormat="0" applyAlignment="0" applyProtection="0">
      <alignment vertical="center"/>
    </xf>
    <xf numFmtId="0" fontId="25" fillId="17" borderId="7" applyNumberFormat="0" applyAlignment="0" applyProtection="0">
      <alignment vertical="center"/>
    </xf>
    <xf numFmtId="0" fontId="25" fillId="17" borderId="7" applyNumberFormat="0" applyAlignment="0" applyProtection="0">
      <alignment vertical="center"/>
    </xf>
    <xf numFmtId="185" fontId="8" fillId="0" borderId="1">
      <alignment vertical="center"/>
      <protection locked="0"/>
    </xf>
    <xf numFmtId="0" fontId="25" fillId="17" borderId="7" applyNumberFormat="0" applyAlignment="0" applyProtection="0">
      <alignment vertical="center"/>
    </xf>
    <xf numFmtId="185" fontId="8" fillId="0" borderId="1">
      <alignment vertical="center"/>
      <protection locked="0"/>
    </xf>
    <xf numFmtId="0" fontId="25" fillId="17" borderId="7" applyNumberFormat="0" applyAlignment="0" applyProtection="0">
      <alignment vertical="center"/>
    </xf>
    <xf numFmtId="185" fontId="8" fillId="0" borderId="1">
      <alignment vertical="center"/>
      <protection locked="0"/>
    </xf>
    <xf numFmtId="0" fontId="25" fillId="17" borderId="7" applyNumberFormat="0" applyAlignment="0" applyProtection="0">
      <alignment vertical="center"/>
    </xf>
    <xf numFmtId="185" fontId="8" fillId="0" borderId="1">
      <alignment vertical="center"/>
      <protection locked="0"/>
    </xf>
    <xf numFmtId="0" fontId="25" fillId="17" borderId="7" applyNumberFormat="0" applyAlignment="0" applyProtection="0">
      <alignment vertical="center"/>
    </xf>
    <xf numFmtId="185" fontId="8" fillId="0" borderId="1">
      <alignment vertical="center"/>
      <protection locked="0"/>
    </xf>
    <xf numFmtId="0" fontId="25" fillId="17" borderId="7" applyNumberFormat="0" applyAlignment="0" applyProtection="0">
      <alignment vertical="center"/>
    </xf>
    <xf numFmtId="185" fontId="8" fillId="0" borderId="1">
      <alignment vertical="center"/>
      <protection locked="0"/>
    </xf>
    <xf numFmtId="0" fontId="25" fillId="17" borderId="7" applyNumberFormat="0" applyAlignment="0" applyProtection="0">
      <alignment vertical="center"/>
    </xf>
    <xf numFmtId="185" fontId="8" fillId="0" borderId="1">
      <alignment vertical="center"/>
      <protection locked="0"/>
    </xf>
    <xf numFmtId="0" fontId="25" fillId="17" borderId="7" applyNumberFormat="0" applyAlignment="0" applyProtection="0">
      <alignment vertical="center"/>
    </xf>
    <xf numFmtId="185" fontId="8" fillId="0" borderId="1">
      <alignment vertical="center"/>
      <protection locked="0"/>
    </xf>
    <xf numFmtId="0" fontId="26" fillId="17" borderId="7" applyNumberFormat="0" applyAlignment="0" applyProtection="0">
      <alignment vertical="center"/>
    </xf>
    <xf numFmtId="185" fontId="8" fillId="0" borderId="1">
      <alignment vertical="center"/>
      <protection locked="0"/>
    </xf>
    <xf numFmtId="0" fontId="27" fillId="8" borderId="8" applyNumberFormat="0" applyAlignment="0" applyProtection="0">
      <alignment vertical="center"/>
    </xf>
    <xf numFmtId="0" fontId="26" fillId="17" borderId="7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46" fillId="0" borderId="0">
      <alignment vertical="center"/>
    </xf>
    <xf numFmtId="0" fontId="47" fillId="0" borderId="0" applyFont="0" applyFill="0" applyBorder="0" applyAlignment="0" applyProtection="0">
      <alignment vertical="center"/>
    </xf>
    <xf numFmtId="4" fontId="47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0" fontId="27" fillId="2" borderId="8" applyNumberFormat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0" fontId="28" fillId="6" borderId="5" applyNumberFormat="0" applyAlignment="0" applyProtection="0">
      <alignment vertical="center"/>
    </xf>
    <xf numFmtId="0" fontId="32" fillId="0" borderId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7" fillId="8" borderId="8" applyNumberFormat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8" fillId="6" borderId="5" applyNumberFormat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8" fillId="6" borderId="5" applyNumberFormat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7" fillId="2" borderId="8" applyNumberFormat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8" fillId="6" borderId="5" applyNumberFormat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27" fillId="8" borderId="8" applyNumberFormat="0" applyAlignment="0" applyProtection="0">
      <alignment vertical="center"/>
    </xf>
    <xf numFmtId="0" fontId="27" fillId="2" borderId="8" applyNumberFormat="0" applyAlignment="0" applyProtection="0">
      <alignment vertical="center"/>
    </xf>
    <xf numFmtId="0" fontId="27" fillId="2" borderId="8" applyNumberFormat="0" applyAlignment="0" applyProtection="0">
      <alignment vertical="center"/>
    </xf>
    <xf numFmtId="0" fontId="27" fillId="2" borderId="8" applyNumberFormat="0" applyAlignment="0" applyProtection="0">
      <alignment vertical="center"/>
    </xf>
    <xf numFmtId="0" fontId="27" fillId="8" borderId="8" applyNumberFormat="0" applyAlignment="0" applyProtection="0">
      <alignment vertical="center"/>
    </xf>
    <xf numFmtId="0" fontId="27" fillId="8" borderId="8" applyNumberFormat="0" applyAlignment="0" applyProtection="0">
      <alignment vertical="center"/>
    </xf>
    <xf numFmtId="0" fontId="27" fillId="8" borderId="8" applyNumberFormat="0" applyAlignment="0" applyProtection="0">
      <alignment vertical="center"/>
    </xf>
    <xf numFmtId="0" fontId="27" fillId="8" borderId="8" applyNumberFormat="0" applyAlignment="0" applyProtection="0">
      <alignment vertical="center"/>
    </xf>
    <xf numFmtId="0" fontId="27" fillId="8" borderId="8" applyNumberFormat="0" applyAlignment="0" applyProtection="0">
      <alignment vertical="center"/>
    </xf>
    <xf numFmtId="0" fontId="27" fillId="8" borderId="8" applyNumberFormat="0" applyAlignment="0" applyProtection="0">
      <alignment vertical="center"/>
    </xf>
    <xf numFmtId="0" fontId="27" fillId="8" borderId="8" applyNumberFormat="0" applyAlignment="0" applyProtection="0">
      <alignment vertical="center"/>
    </xf>
    <xf numFmtId="0" fontId="27" fillId="8" borderId="8" applyNumberFormat="0" applyAlignment="0" applyProtection="0">
      <alignment vertical="center"/>
    </xf>
    <xf numFmtId="0" fontId="27" fillId="8" borderId="8" applyNumberFormat="0" applyAlignment="0" applyProtection="0">
      <alignment vertical="center"/>
    </xf>
    <xf numFmtId="0" fontId="27" fillId="8" borderId="8" applyNumberFormat="0" applyAlignment="0" applyProtection="0">
      <alignment vertical="center"/>
    </xf>
    <xf numFmtId="0" fontId="28" fillId="6" borderId="5" applyNumberFormat="0" applyAlignment="0" applyProtection="0">
      <alignment vertical="center"/>
    </xf>
    <xf numFmtId="0" fontId="28" fillId="6" borderId="5" applyNumberFormat="0" applyAlignment="0" applyProtection="0">
      <alignment vertical="center"/>
    </xf>
    <xf numFmtId="0" fontId="28" fillId="6" borderId="5" applyNumberFormat="0" applyAlignment="0" applyProtection="0">
      <alignment vertical="center"/>
    </xf>
    <xf numFmtId="0" fontId="28" fillId="6" borderId="5" applyNumberFormat="0" applyAlignment="0" applyProtection="0">
      <alignment vertical="center"/>
    </xf>
    <xf numFmtId="0" fontId="28" fillId="6" borderId="5" applyNumberFormat="0" applyAlignment="0" applyProtection="0">
      <alignment vertical="center"/>
    </xf>
    <xf numFmtId="0" fontId="28" fillId="6" borderId="5" applyNumberFormat="0" applyAlignment="0" applyProtection="0">
      <alignment vertical="center"/>
    </xf>
    <xf numFmtId="0" fontId="28" fillId="6" borderId="5" applyNumberFormat="0" applyAlignment="0" applyProtection="0">
      <alignment vertical="center"/>
    </xf>
    <xf numFmtId="0" fontId="28" fillId="6" borderId="5" applyNumberFormat="0" applyAlignment="0" applyProtection="0">
      <alignment vertical="center"/>
    </xf>
    <xf numFmtId="0" fontId="28" fillId="6" borderId="5" applyNumberFormat="0" applyAlignment="0" applyProtection="0">
      <alignment vertical="center"/>
    </xf>
    <xf numFmtId="0" fontId="28" fillId="6" borderId="5" applyNumberFormat="0" applyAlignment="0" applyProtection="0">
      <alignment vertical="center"/>
    </xf>
    <xf numFmtId="0" fontId="28" fillId="6" borderId="5" applyNumberFormat="0" applyAlignment="0" applyProtection="0">
      <alignment vertical="center"/>
    </xf>
    <xf numFmtId="0" fontId="28" fillId="6" borderId="5" applyNumberFormat="0" applyAlignment="0" applyProtection="0">
      <alignment vertical="center"/>
    </xf>
    <xf numFmtId="0" fontId="28" fillId="6" borderId="5" applyNumberFormat="0" applyAlignment="0" applyProtection="0">
      <alignment vertical="center"/>
    </xf>
    <xf numFmtId="0" fontId="28" fillId="6" borderId="5" applyNumberFormat="0" applyAlignment="0" applyProtection="0">
      <alignment vertical="center"/>
    </xf>
    <xf numFmtId="0" fontId="28" fillId="6" borderId="5" applyNumberFormat="0" applyAlignment="0" applyProtection="0">
      <alignment vertical="center"/>
    </xf>
    <xf numFmtId="1" fontId="8" fillId="0" borderId="1">
      <alignment vertical="center"/>
      <protection locked="0"/>
    </xf>
    <xf numFmtId="1" fontId="8" fillId="0" borderId="1">
      <alignment vertical="center"/>
      <protection locked="0"/>
    </xf>
    <xf numFmtId="1" fontId="8" fillId="0" borderId="1">
      <alignment vertical="center"/>
      <protection locked="0"/>
    </xf>
    <xf numFmtId="1" fontId="8" fillId="0" borderId="1">
      <alignment vertical="center"/>
      <protection locked="0"/>
    </xf>
    <xf numFmtId="1" fontId="8" fillId="0" borderId="1">
      <alignment vertical="center"/>
      <protection locked="0"/>
    </xf>
    <xf numFmtId="1" fontId="8" fillId="0" borderId="1">
      <alignment vertical="center"/>
      <protection locked="0"/>
    </xf>
    <xf numFmtId="1" fontId="8" fillId="0" borderId="1">
      <alignment vertical="center"/>
      <protection locked="0"/>
    </xf>
    <xf numFmtId="1" fontId="8" fillId="0" borderId="1">
      <alignment vertical="center"/>
      <protection locked="0"/>
    </xf>
    <xf numFmtId="1" fontId="8" fillId="0" borderId="1">
      <alignment vertical="center"/>
      <protection locked="0"/>
    </xf>
    <xf numFmtId="1" fontId="8" fillId="0" borderId="1">
      <alignment vertical="center"/>
      <protection locked="0"/>
    </xf>
    <xf numFmtId="1" fontId="8" fillId="0" borderId="1">
      <alignment vertical="center"/>
      <protection locked="0"/>
    </xf>
    <xf numFmtId="1" fontId="8" fillId="0" borderId="1">
      <alignment vertical="center"/>
      <protection locked="0"/>
    </xf>
    <xf numFmtId="1" fontId="8" fillId="0" borderId="1">
      <alignment vertical="center"/>
      <protection locked="0"/>
    </xf>
    <xf numFmtId="1" fontId="8" fillId="0" borderId="1">
      <alignment vertical="center"/>
      <protection locked="0"/>
    </xf>
    <xf numFmtId="0" fontId="45" fillId="0" borderId="0">
      <alignment vertical="center"/>
    </xf>
    <xf numFmtId="185" fontId="8" fillId="0" borderId="1">
      <alignment vertical="center"/>
      <protection locked="0"/>
    </xf>
    <xf numFmtId="185" fontId="8" fillId="0" borderId="1">
      <alignment vertical="center"/>
      <protection locked="0"/>
    </xf>
    <xf numFmtId="0" fontId="14" fillId="0" borderId="0">
      <alignment vertical="center"/>
    </xf>
    <xf numFmtId="0" fontId="47" fillId="21" borderId="11" applyNumberFormat="0" applyFont="0" applyAlignment="0" applyProtection="0">
      <alignment vertical="center"/>
    </xf>
    <xf numFmtId="0" fontId="47" fillId="21" borderId="11" applyNumberFormat="0" applyFont="0" applyAlignment="0" applyProtection="0">
      <alignment vertical="center"/>
    </xf>
    <xf numFmtId="0" fontId="47" fillId="21" borderId="11" applyNumberFormat="0" applyFont="0" applyAlignment="0" applyProtection="0">
      <alignment vertical="center"/>
    </xf>
    <xf numFmtId="0" fontId="47" fillId="21" borderId="11" applyNumberFormat="0" applyFont="0" applyAlignment="0" applyProtection="0">
      <alignment vertical="center"/>
    </xf>
    <xf numFmtId="0" fontId="47" fillId="21" borderId="11" applyNumberFormat="0" applyFont="0" applyAlignment="0" applyProtection="0">
      <alignment vertical="center"/>
    </xf>
    <xf numFmtId="0" fontId="47" fillId="21" borderId="11" applyNumberFormat="0" applyFont="0" applyAlignment="0" applyProtection="0">
      <alignment vertical="center"/>
    </xf>
    <xf numFmtId="0" fontId="47" fillId="21" borderId="11" applyNumberFormat="0" applyFont="0" applyAlignment="0" applyProtection="0">
      <alignment vertical="center"/>
    </xf>
    <xf numFmtId="0" fontId="47" fillId="21" borderId="11" applyNumberFormat="0" applyFont="0" applyAlignment="0" applyProtection="0">
      <alignment vertical="center"/>
    </xf>
    <xf numFmtId="0" fontId="47" fillId="21" borderId="11" applyNumberFormat="0" applyFont="0" applyAlignment="0" applyProtection="0">
      <alignment vertical="center"/>
    </xf>
    <xf numFmtId="0" fontId="47" fillId="21" borderId="11" applyNumberFormat="0" applyFont="0" applyAlignment="0" applyProtection="0">
      <alignment vertical="center"/>
    </xf>
    <xf numFmtId="0" fontId="2" fillId="0" borderId="0"/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6" fillId="21" borderId="11" applyNumberFormat="0" applyFont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51" fillId="0" borderId="0"/>
    <xf numFmtId="0" fontId="6" fillId="0" borderId="0"/>
    <xf numFmtId="0" fontId="6" fillId="0" borderId="0"/>
    <xf numFmtId="0" fontId="53" fillId="0" borderId="0"/>
    <xf numFmtId="0" fontId="6" fillId="0" borderId="0"/>
    <xf numFmtId="0" fontId="12" fillId="2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3" fillId="0" borderId="0"/>
    <xf numFmtId="0" fontId="53" fillId="0" borderId="0"/>
    <xf numFmtId="0" fontId="53" fillId="0" borderId="0"/>
    <xf numFmtId="0" fontId="6" fillId="0" borderId="0"/>
    <xf numFmtId="0" fontId="5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3" fillId="0" borderId="0"/>
    <xf numFmtId="0" fontId="53" fillId="0" borderId="0"/>
    <xf numFmtId="0" fontId="53" fillId="0" borderId="0"/>
    <xf numFmtId="0" fontId="6" fillId="0" borderId="0"/>
    <xf numFmtId="0" fontId="53" fillId="0" borderId="0"/>
    <xf numFmtId="0" fontId="6" fillId="0" borderId="0"/>
    <xf numFmtId="0" fontId="53" fillId="0" borderId="0"/>
    <xf numFmtId="0" fontId="53" fillId="0" borderId="0"/>
    <xf numFmtId="0" fontId="6" fillId="0" borderId="0"/>
    <xf numFmtId="0" fontId="53" fillId="0" borderId="0"/>
    <xf numFmtId="0" fontId="53" fillId="0" borderId="0"/>
    <xf numFmtId="0" fontId="6" fillId="0" borderId="0"/>
    <xf numFmtId="0" fontId="12" fillId="23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" fillId="0" borderId="0"/>
    <xf numFmtId="0" fontId="53" fillId="0" borderId="0"/>
    <xf numFmtId="0" fontId="53" fillId="0" borderId="0"/>
    <xf numFmtId="0" fontId="6" fillId="0" borderId="0"/>
    <xf numFmtId="0" fontId="53" fillId="0" borderId="0"/>
    <xf numFmtId="0" fontId="6" fillId="0" borderId="0"/>
    <xf numFmtId="0" fontId="53" fillId="0" borderId="0"/>
    <xf numFmtId="0" fontId="2" fillId="0" borderId="0"/>
    <xf numFmtId="0" fontId="2" fillId="0" borderId="0"/>
    <xf numFmtId="0" fontId="53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2" fillId="0" borderId="0"/>
    <xf numFmtId="0" fontId="2" fillId="0" borderId="0"/>
    <xf numFmtId="0" fontId="53" fillId="0" borderId="0"/>
    <xf numFmtId="0" fontId="53" fillId="0" borderId="0"/>
    <xf numFmtId="0" fontId="6" fillId="0" borderId="0"/>
    <xf numFmtId="0" fontId="53" fillId="0" borderId="0"/>
    <xf numFmtId="0" fontId="6" fillId="0" borderId="0"/>
    <xf numFmtId="0" fontId="53" fillId="0" borderId="0"/>
    <xf numFmtId="0" fontId="6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53" fillId="0" borderId="0"/>
    <xf numFmtId="0" fontId="2" fillId="0" borderId="0"/>
    <xf numFmtId="0" fontId="2" fillId="0" borderId="0"/>
    <xf numFmtId="0" fontId="2" fillId="0" borderId="0"/>
    <xf numFmtId="0" fontId="37" fillId="0" borderId="0"/>
    <xf numFmtId="0" fontId="37" fillId="0" borderId="0"/>
    <xf numFmtId="0" fontId="37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6" fillId="0" borderId="0">
      <alignment vertical="center"/>
    </xf>
    <xf numFmtId="0" fontId="2" fillId="0" borderId="0"/>
    <xf numFmtId="0" fontId="53" fillId="0" borderId="0">
      <alignment vertical="center"/>
    </xf>
    <xf numFmtId="0" fontId="6" fillId="0" borderId="0">
      <alignment vertical="center"/>
    </xf>
    <xf numFmtId="0" fontId="2" fillId="0" borderId="0"/>
    <xf numFmtId="0" fontId="53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24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6" fillId="0" borderId="0"/>
    <xf numFmtId="0" fontId="53" fillId="0" borderId="0"/>
    <xf numFmtId="0" fontId="6" fillId="0" borderId="0"/>
    <xf numFmtId="0" fontId="2" fillId="0" borderId="0"/>
    <xf numFmtId="0" fontId="53" fillId="0" borderId="0"/>
    <xf numFmtId="0" fontId="6" fillId="0" borderId="0"/>
    <xf numFmtId="0" fontId="6" fillId="0" borderId="0"/>
    <xf numFmtId="0" fontId="53" fillId="0" borderId="0"/>
    <xf numFmtId="0" fontId="2" fillId="0" borderId="0"/>
    <xf numFmtId="0" fontId="6" fillId="0" borderId="0"/>
    <xf numFmtId="0" fontId="51" fillId="0" borderId="0"/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189" fontId="2" fillId="0" borderId="0" applyFont="0" applyFill="0" applyBorder="0" applyAlignment="0" applyProtection="0">
      <alignment vertical="center"/>
    </xf>
    <xf numFmtId="189" fontId="2" fillId="0" borderId="0" applyFont="0" applyFill="0" applyBorder="0" applyAlignment="0" applyProtection="0">
      <alignment vertical="center"/>
    </xf>
    <xf numFmtId="0" fontId="18" fillId="40" borderId="5" applyNumberFormat="0" applyAlignment="0" applyProtection="0">
      <alignment vertical="center"/>
    </xf>
    <xf numFmtId="0" fontId="18" fillId="40" borderId="5" applyNumberFormat="0" applyAlignment="0" applyProtection="0">
      <alignment vertical="center"/>
    </xf>
    <xf numFmtId="0" fontId="18" fillId="40" borderId="5" applyNumberFormat="0" applyAlignment="0" applyProtection="0">
      <alignment vertical="center"/>
    </xf>
    <xf numFmtId="0" fontId="18" fillId="40" borderId="5" applyNumberFormat="0" applyAlignment="0" applyProtection="0">
      <alignment vertical="center"/>
    </xf>
    <xf numFmtId="0" fontId="18" fillId="40" borderId="5" applyNumberFormat="0" applyAlignment="0" applyProtection="0">
      <alignment vertical="center"/>
    </xf>
    <xf numFmtId="0" fontId="18" fillId="40" borderId="5" applyNumberFormat="0" applyAlignment="0" applyProtection="0">
      <alignment vertical="center"/>
    </xf>
    <xf numFmtId="0" fontId="18" fillId="40" borderId="5" applyNumberFormat="0" applyAlignment="0" applyProtection="0">
      <alignment vertical="center"/>
    </xf>
    <xf numFmtId="0" fontId="25" fillId="41" borderId="7" applyNumberFormat="0" applyAlignment="0" applyProtection="0">
      <alignment vertical="center"/>
    </xf>
    <xf numFmtId="0" fontId="25" fillId="41" borderId="7" applyNumberFormat="0" applyAlignment="0" applyProtection="0">
      <alignment vertical="center"/>
    </xf>
    <xf numFmtId="0" fontId="25" fillId="41" borderId="7" applyNumberFormat="0" applyAlignment="0" applyProtection="0">
      <alignment vertical="center"/>
    </xf>
    <xf numFmtId="0" fontId="25" fillId="41" borderId="7" applyNumberFormat="0" applyAlignment="0" applyProtection="0">
      <alignment vertical="center"/>
    </xf>
    <xf numFmtId="0" fontId="25" fillId="41" borderId="7" applyNumberFormat="0" applyAlignment="0" applyProtection="0">
      <alignment vertical="center"/>
    </xf>
    <xf numFmtId="0" fontId="25" fillId="41" borderId="7" applyNumberFormat="0" applyAlignment="0" applyProtection="0">
      <alignment vertical="center"/>
    </xf>
    <xf numFmtId="0" fontId="25" fillId="41" borderId="7" applyNumberFormat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27" fillId="40" borderId="8" applyNumberFormat="0" applyAlignment="0" applyProtection="0">
      <alignment vertical="center"/>
    </xf>
    <xf numFmtId="0" fontId="27" fillId="40" borderId="8" applyNumberFormat="0" applyAlignment="0" applyProtection="0">
      <alignment vertical="center"/>
    </xf>
    <xf numFmtId="0" fontId="27" fillId="40" borderId="8" applyNumberFormat="0" applyAlignment="0" applyProtection="0">
      <alignment vertical="center"/>
    </xf>
    <xf numFmtId="0" fontId="27" fillId="40" borderId="8" applyNumberFormat="0" applyAlignment="0" applyProtection="0">
      <alignment vertical="center"/>
    </xf>
    <xf numFmtId="0" fontId="27" fillId="40" borderId="8" applyNumberFormat="0" applyAlignment="0" applyProtection="0">
      <alignment vertical="center"/>
    </xf>
    <xf numFmtId="0" fontId="27" fillId="40" borderId="8" applyNumberFormat="0" applyAlignment="0" applyProtection="0">
      <alignment vertical="center"/>
    </xf>
    <xf numFmtId="0" fontId="27" fillId="40" borderId="8" applyNumberFormat="0" applyAlignment="0" applyProtection="0">
      <alignment vertical="center"/>
    </xf>
    <xf numFmtId="0" fontId="28" fillId="31" borderId="5" applyNumberFormat="0" applyAlignment="0" applyProtection="0">
      <alignment vertical="center"/>
    </xf>
    <xf numFmtId="0" fontId="28" fillId="31" borderId="5" applyNumberFormat="0" applyAlignment="0" applyProtection="0">
      <alignment vertical="center"/>
    </xf>
    <xf numFmtId="0" fontId="28" fillId="31" borderId="5" applyNumberFormat="0" applyAlignment="0" applyProtection="0">
      <alignment vertical="center"/>
    </xf>
    <xf numFmtId="0" fontId="28" fillId="31" borderId="5" applyNumberFormat="0" applyAlignment="0" applyProtection="0">
      <alignment vertical="center"/>
    </xf>
    <xf numFmtId="0" fontId="28" fillId="31" borderId="5" applyNumberFormat="0" applyAlignment="0" applyProtection="0">
      <alignment vertical="center"/>
    </xf>
    <xf numFmtId="0" fontId="28" fillId="31" borderId="5" applyNumberFormat="0" applyAlignment="0" applyProtection="0">
      <alignment vertical="center"/>
    </xf>
    <xf numFmtId="0" fontId="28" fillId="31" borderId="5" applyNumberFormat="0" applyAlignment="0" applyProtection="0">
      <alignment vertical="center"/>
    </xf>
    <xf numFmtId="0" fontId="52" fillId="0" borderId="0"/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6" fillId="47" borderId="11" applyNumberFormat="0" applyFont="0" applyAlignment="0" applyProtection="0">
      <alignment vertical="center"/>
    </xf>
    <xf numFmtId="0" fontId="6" fillId="47" borderId="11" applyNumberFormat="0" applyFont="0" applyAlignment="0" applyProtection="0">
      <alignment vertical="center"/>
    </xf>
    <xf numFmtId="0" fontId="6" fillId="47" borderId="11" applyNumberFormat="0" applyFont="0" applyAlignment="0" applyProtection="0">
      <alignment vertical="center"/>
    </xf>
    <xf numFmtId="0" fontId="6" fillId="47" borderId="11" applyNumberFormat="0" applyFont="0" applyAlignment="0" applyProtection="0">
      <alignment vertical="center"/>
    </xf>
    <xf numFmtId="0" fontId="6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0" borderId="0"/>
    <xf numFmtId="0" fontId="58" fillId="0" borderId="0"/>
    <xf numFmtId="0" fontId="2" fillId="0" borderId="0"/>
    <xf numFmtId="0" fontId="2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2" fillId="0" borderId="0"/>
    <xf numFmtId="0" fontId="6" fillId="19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63" fillId="0" borderId="14" applyNumberFormat="0" applyFill="0" applyAlignment="0" applyProtection="0">
      <alignment vertical="center"/>
    </xf>
    <xf numFmtId="0" fontId="64" fillId="0" borderId="18" applyNumberFormat="0" applyFill="0" applyAlignment="0" applyProtection="0">
      <alignment vertical="center"/>
    </xf>
    <xf numFmtId="0" fontId="65" fillId="0" borderId="19" applyNumberFormat="0" applyFill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2" fillId="21" borderId="11" applyNumberFormat="0" applyFont="0" applyAlignment="0" applyProtection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2" fillId="0" borderId="0">
      <alignment vertical="center"/>
    </xf>
    <xf numFmtId="0" fontId="52" fillId="0" borderId="0"/>
    <xf numFmtId="0" fontId="5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177" fontId="51" fillId="0" borderId="0" applyFill="0" applyBorder="0" applyAlignment="0"/>
    <xf numFmtId="41" fontId="52" fillId="0" borderId="0" applyFont="0" applyFill="0" applyBorder="0" applyAlignment="0" applyProtection="0"/>
    <xf numFmtId="182" fontId="75" fillId="0" borderId="0"/>
    <xf numFmtId="176" fontId="52" fillId="0" borderId="0" applyFont="0" applyFill="0" applyBorder="0" applyAlignment="0" applyProtection="0"/>
    <xf numFmtId="179" fontId="75" fillId="0" borderId="0"/>
    <xf numFmtId="0" fontId="76" fillId="0" borderId="0" applyProtection="0"/>
    <xf numFmtId="186" fontId="75" fillId="0" borderId="0"/>
    <xf numFmtId="2" fontId="76" fillId="0" borderId="0" applyProtection="0"/>
    <xf numFmtId="0" fontId="77" fillId="0" borderId="15" applyNumberFormat="0" applyAlignment="0" applyProtection="0">
      <alignment horizontal="left" vertical="center"/>
    </xf>
    <xf numFmtId="0" fontId="77" fillId="0" borderId="2">
      <alignment horizontal="left" vertical="center"/>
    </xf>
    <xf numFmtId="0" fontId="78" fillId="0" borderId="0" applyProtection="0"/>
    <xf numFmtId="0" fontId="77" fillId="0" borderId="0" applyProtection="0"/>
    <xf numFmtId="37" fontId="73" fillId="0" borderId="0"/>
    <xf numFmtId="0" fontId="76" fillId="0" borderId="16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6" fillId="0" borderId="0"/>
    <xf numFmtId="0" fontId="53" fillId="0" borderId="0"/>
    <xf numFmtId="0" fontId="6" fillId="0" borderId="0"/>
    <xf numFmtId="0" fontId="53" fillId="0" borderId="0"/>
    <xf numFmtId="0" fontId="53" fillId="0" borderId="0"/>
    <xf numFmtId="0" fontId="6" fillId="0" borderId="0"/>
    <xf numFmtId="0" fontId="53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3" fillId="0" borderId="0"/>
    <xf numFmtId="0" fontId="53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3" fillId="0" borderId="0"/>
    <xf numFmtId="0" fontId="5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3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3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8" fillId="48" borderId="5" applyNumberFormat="0" applyAlignment="0" applyProtection="0">
      <alignment vertical="center"/>
    </xf>
    <xf numFmtId="0" fontId="18" fillId="48" borderId="5" applyNumberFormat="0" applyAlignment="0" applyProtection="0">
      <alignment vertical="center"/>
    </xf>
    <xf numFmtId="0" fontId="18" fillId="40" borderId="5" applyNumberFormat="0" applyAlignment="0" applyProtection="0">
      <alignment vertical="center"/>
    </xf>
    <xf numFmtId="0" fontId="18" fillId="48" borderId="5" applyNumberFormat="0" applyAlignment="0" applyProtection="0">
      <alignment vertical="center"/>
    </xf>
    <xf numFmtId="0" fontId="18" fillId="48" borderId="5" applyNumberFormat="0" applyAlignment="0" applyProtection="0">
      <alignment vertical="center"/>
    </xf>
    <xf numFmtId="0" fontId="18" fillId="48" borderId="5" applyNumberFormat="0" applyAlignment="0" applyProtection="0">
      <alignment vertical="center"/>
    </xf>
    <xf numFmtId="0" fontId="18" fillId="48" borderId="5" applyNumberFormat="0" applyAlignment="0" applyProtection="0">
      <alignment vertical="center"/>
    </xf>
    <xf numFmtId="0" fontId="18" fillId="48" borderId="5" applyNumberFormat="0" applyAlignment="0" applyProtection="0">
      <alignment vertical="center"/>
    </xf>
    <xf numFmtId="0" fontId="18" fillId="48" borderId="5" applyNumberFormat="0" applyAlignment="0" applyProtection="0">
      <alignment vertical="center"/>
    </xf>
    <xf numFmtId="0" fontId="18" fillId="48" borderId="5" applyNumberFormat="0" applyAlignment="0" applyProtection="0">
      <alignment vertical="center"/>
    </xf>
    <xf numFmtId="0" fontId="18" fillId="40" borderId="5" applyNumberFormat="0" applyAlignment="0" applyProtection="0">
      <alignment vertical="center"/>
    </xf>
    <xf numFmtId="0" fontId="18" fillId="40" borderId="5" applyNumberFormat="0" applyAlignment="0" applyProtection="0">
      <alignment vertical="center"/>
    </xf>
    <xf numFmtId="0" fontId="18" fillId="40" borderId="5" applyNumberFormat="0" applyAlignment="0" applyProtection="0">
      <alignment vertical="center"/>
    </xf>
    <xf numFmtId="0" fontId="18" fillId="40" borderId="5" applyNumberFormat="0" applyAlignment="0" applyProtection="0">
      <alignment vertical="center"/>
    </xf>
    <xf numFmtId="0" fontId="18" fillId="40" borderId="5" applyNumberFormat="0" applyAlignment="0" applyProtection="0">
      <alignment vertical="center"/>
    </xf>
    <xf numFmtId="0" fontId="18" fillId="40" borderId="5" applyNumberFormat="0" applyAlignment="0" applyProtection="0">
      <alignment vertical="center"/>
    </xf>
    <xf numFmtId="0" fontId="18" fillId="40" borderId="5" applyNumberFormat="0" applyAlignment="0" applyProtection="0">
      <alignment vertical="center"/>
    </xf>
    <xf numFmtId="0" fontId="18" fillId="40" borderId="5" applyNumberFormat="0" applyAlignment="0" applyProtection="0">
      <alignment vertical="center"/>
    </xf>
    <xf numFmtId="0" fontId="18" fillId="40" borderId="5" applyNumberFormat="0" applyAlignment="0" applyProtection="0">
      <alignment vertical="center"/>
    </xf>
    <xf numFmtId="0" fontId="18" fillId="40" borderId="5" applyNumberFormat="0" applyAlignment="0" applyProtection="0">
      <alignment vertical="center"/>
    </xf>
    <xf numFmtId="0" fontId="18" fillId="40" borderId="5" applyNumberFormat="0" applyAlignment="0" applyProtection="0">
      <alignment vertical="center"/>
    </xf>
    <xf numFmtId="0" fontId="18" fillId="40" borderId="5" applyNumberFormat="0" applyAlignment="0" applyProtection="0">
      <alignment vertical="center"/>
    </xf>
    <xf numFmtId="0" fontId="18" fillId="40" borderId="5" applyNumberFormat="0" applyAlignment="0" applyProtection="0">
      <alignment vertical="center"/>
    </xf>
    <xf numFmtId="0" fontId="18" fillId="40" borderId="5" applyNumberFormat="0" applyAlignment="0" applyProtection="0">
      <alignment vertical="center"/>
    </xf>
    <xf numFmtId="0" fontId="18" fillId="40" borderId="5" applyNumberFormat="0" applyAlignment="0" applyProtection="0">
      <alignment vertical="center"/>
    </xf>
    <xf numFmtId="0" fontId="18" fillId="48" borderId="5" applyNumberFormat="0" applyAlignment="0" applyProtection="0">
      <alignment vertical="center"/>
    </xf>
    <xf numFmtId="0" fontId="18" fillId="48" borderId="5" applyNumberFormat="0" applyAlignment="0" applyProtection="0">
      <alignment vertical="center"/>
    </xf>
    <xf numFmtId="0" fontId="18" fillId="48" borderId="5" applyNumberFormat="0" applyAlignment="0" applyProtection="0">
      <alignment vertical="center"/>
    </xf>
    <xf numFmtId="0" fontId="26" fillId="41" borderId="7" applyNumberFormat="0" applyAlignment="0" applyProtection="0">
      <alignment vertical="center"/>
    </xf>
    <xf numFmtId="0" fontId="26" fillId="41" borderId="7" applyNumberFormat="0" applyAlignment="0" applyProtection="0">
      <alignment vertical="center"/>
    </xf>
    <xf numFmtId="0" fontId="25" fillId="41" borderId="7" applyNumberFormat="0" applyAlignment="0" applyProtection="0">
      <alignment vertical="center"/>
    </xf>
    <xf numFmtId="0" fontId="26" fillId="41" borderId="7" applyNumberFormat="0" applyAlignment="0" applyProtection="0">
      <alignment vertical="center"/>
    </xf>
    <xf numFmtId="0" fontId="26" fillId="41" borderId="7" applyNumberFormat="0" applyAlignment="0" applyProtection="0">
      <alignment vertical="center"/>
    </xf>
    <xf numFmtId="0" fontId="26" fillId="41" borderId="7" applyNumberFormat="0" applyAlignment="0" applyProtection="0">
      <alignment vertical="center"/>
    </xf>
    <xf numFmtId="0" fontId="26" fillId="41" borderId="7" applyNumberFormat="0" applyAlignment="0" applyProtection="0">
      <alignment vertical="center"/>
    </xf>
    <xf numFmtId="0" fontId="26" fillId="41" borderId="7" applyNumberFormat="0" applyAlignment="0" applyProtection="0">
      <alignment vertical="center"/>
    </xf>
    <xf numFmtId="0" fontId="26" fillId="41" borderId="7" applyNumberFormat="0" applyAlignment="0" applyProtection="0">
      <alignment vertical="center"/>
    </xf>
    <xf numFmtId="0" fontId="26" fillId="41" borderId="7" applyNumberFormat="0" applyAlignment="0" applyProtection="0">
      <alignment vertical="center"/>
    </xf>
    <xf numFmtId="0" fontId="25" fillId="41" borderId="7" applyNumberFormat="0" applyAlignment="0" applyProtection="0">
      <alignment vertical="center"/>
    </xf>
    <xf numFmtId="0" fontId="25" fillId="41" borderId="7" applyNumberFormat="0" applyAlignment="0" applyProtection="0">
      <alignment vertical="center"/>
    </xf>
    <xf numFmtId="0" fontId="25" fillId="41" borderId="7" applyNumberFormat="0" applyAlignment="0" applyProtection="0">
      <alignment vertical="center"/>
    </xf>
    <xf numFmtId="0" fontId="25" fillId="41" borderId="7" applyNumberFormat="0" applyAlignment="0" applyProtection="0">
      <alignment vertical="center"/>
    </xf>
    <xf numFmtId="0" fontId="25" fillId="41" borderId="7" applyNumberFormat="0" applyAlignment="0" applyProtection="0">
      <alignment vertical="center"/>
    </xf>
    <xf numFmtId="0" fontId="25" fillId="41" borderId="7" applyNumberFormat="0" applyAlignment="0" applyProtection="0">
      <alignment vertical="center"/>
    </xf>
    <xf numFmtId="0" fontId="25" fillId="41" borderId="7" applyNumberFormat="0" applyAlignment="0" applyProtection="0">
      <alignment vertical="center"/>
    </xf>
    <xf numFmtId="0" fontId="25" fillId="41" borderId="7" applyNumberFormat="0" applyAlignment="0" applyProtection="0">
      <alignment vertical="center"/>
    </xf>
    <xf numFmtId="0" fontId="25" fillId="41" borderId="7" applyNumberFormat="0" applyAlignment="0" applyProtection="0">
      <alignment vertical="center"/>
    </xf>
    <xf numFmtId="0" fontId="25" fillId="41" borderId="7" applyNumberFormat="0" applyAlignment="0" applyProtection="0">
      <alignment vertical="center"/>
    </xf>
    <xf numFmtId="0" fontId="25" fillId="41" borderId="7" applyNumberFormat="0" applyAlignment="0" applyProtection="0">
      <alignment vertical="center"/>
    </xf>
    <xf numFmtId="0" fontId="25" fillId="41" borderId="7" applyNumberFormat="0" applyAlignment="0" applyProtection="0">
      <alignment vertical="center"/>
    </xf>
    <xf numFmtId="0" fontId="25" fillId="41" borderId="7" applyNumberFormat="0" applyAlignment="0" applyProtection="0">
      <alignment vertical="center"/>
    </xf>
    <xf numFmtId="0" fontId="25" fillId="41" borderId="7" applyNumberFormat="0" applyAlignment="0" applyProtection="0">
      <alignment vertical="center"/>
    </xf>
    <xf numFmtId="0" fontId="25" fillId="41" borderId="7" applyNumberFormat="0" applyAlignment="0" applyProtection="0">
      <alignment vertical="center"/>
    </xf>
    <xf numFmtId="0" fontId="26" fillId="41" borderId="7" applyNumberFormat="0" applyAlignment="0" applyProtection="0">
      <alignment vertical="center"/>
    </xf>
    <xf numFmtId="0" fontId="26" fillId="41" borderId="7" applyNumberFormat="0" applyAlignment="0" applyProtection="0">
      <alignment vertical="center"/>
    </xf>
    <xf numFmtId="0" fontId="26" fillId="41" borderId="7" applyNumberFormat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27" fillId="48" borderId="8" applyNumberFormat="0" applyAlignment="0" applyProtection="0">
      <alignment vertical="center"/>
    </xf>
    <xf numFmtId="0" fontId="27" fillId="48" borderId="8" applyNumberFormat="0" applyAlignment="0" applyProtection="0">
      <alignment vertical="center"/>
    </xf>
    <xf numFmtId="0" fontId="27" fillId="40" borderId="8" applyNumberFormat="0" applyAlignment="0" applyProtection="0">
      <alignment vertical="center"/>
    </xf>
    <xf numFmtId="0" fontId="27" fillId="48" borderId="8" applyNumberFormat="0" applyAlignment="0" applyProtection="0">
      <alignment vertical="center"/>
    </xf>
    <xf numFmtId="0" fontId="27" fillId="48" borderId="8" applyNumberFormat="0" applyAlignment="0" applyProtection="0">
      <alignment vertical="center"/>
    </xf>
    <xf numFmtId="0" fontId="27" fillId="48" borderId="8" applyNumberFormat="0" applyAlignment="0" applyProtection="0">
      <alignment vertical="center"/>
    </xf>
    <xf numFmtId="0" fontId="27" fillId="48" borderId="8" applyNumberFormat="0" applyAlignment="0" applyProtection="0">
      <alignment vertical="center"/>
    </xf>
    <xf numFmtId="0" fontId="27" fillId="48" borderId="8" applyNumberFormat="0" applyAlignment="0" applyProtection="0">
      <alignment vertical="center"/>
    </xf>
    <xf numFmtId="0" fontId="27" fillId="48" borderId="8" applyNumberFormat="0" applyAlignment="0" applyProtection="0">
      <alignment vertical="center"/>
    </xf>
    <xf numFmtId="0" fontId="27" fillId="48" borderId="8" applyNumberFormat="0" applyAlignment="0" applyProtection="0">
      <alignment vertical="center"/>
    </xf>
    <xf numFmtId="0" fontId="27" fillId="40" borderId="8" applyNumberFormat="0" applyAlignment="0" applyProtection="0">
      <alignment vertical="center"/>
    </xf>
    <xf numFmtId="0" fontId="27" fillId="40" borderId="8" applyNumberFormat="0" applyAlignment="0" applyProtection="0">
      <alignment vertical="center"/>
    </xf>
    <xf numFmtId="0" fontId="27" fillId="40" borderId="8" applyNumberFormat="0" applyAlignment="0" applyProtection="0">
      <alignment vertical="center"/>
    </xf>
    <xf numFmtId="0" fontId="27" fillId="40" borderId="8" applyNumberFormat="0" applyAlignment="0" applyProtection="0">
      <alignment vertical="center"/>
    </xf>
    <xf numFmtId="0" fontId="27" fillId="40" borderId="8" applyNumberFormat="0" applyAlignment="0" applyProtection="0">
      <alignment vertical="center"/>
    </xf>
    <xf numFmtId="0" fontId="27" fillId="40" borderId="8" applyNumberFormat="0" applyAlignment="0" applyProtection="0">
      <alignment vertical="center"/>
    </xf>
    <xf numFmtId="0" fontId="27" fillId="40" borderId="8" applyNumberFormat="0" applyAlignment="0" applyProtection="0">
      <alignment vertical="center"/>
    </xf>
    <xf numFmtId="0" fontId="27" fillId="40" borderId="8" applyNumberFormat="0" applyAlignment="0" applyProtection="0">
      <alignment vertical="center"/>
    </xf>
    <xf numFmtId="0" fontId="27" fillId="40" borderId="8" applyNumberFormat="0" applyAlignment="0" applyProtection="0">
      <alignment vertical="center"/>
    </xf>
    <xf numFmtId="0" fontId="27" fillId="40" borderId="8" applyNumberFormat="0" applyAlignment="0" applyProtection="0">
      <alignment vertical="center"/>
    </xf>
    <xf numFmtId="0" fontId="27" fillId="40" borderId="8" applyNumberFormat="0" applyAlignment="0" applyProtection="0">
      <alignment vertical="center"/>
    </xf>
    <xf numFmtId="0" fontId="27" fillId="40" borderId="8" applyNumberFormat="0" applyAlignment="0" applyProtection="0">
      <alignment vertical="center"/>
    </xf>
    <xf numFmtId="0" fontId="27" fillId="40" borderId="8" applyNumberFormat="0" applyAlignment="0" applyProtection="0">
      <alignment vertical="center"/>
    </xf>
    <xf numFmtId="0" fontId="27" fillId="40" borderId="8" applyNumberFormat="0" applyAlignment="0" applyProtection="0">
      <alignment vertical="center"/>
    </xf>
    <xf numFmtId="0" fontId="27" fillId="40" borderId="8" applyNumberFormat="0" applyAlignment="0" applyProtection="0">
      <alignment vertical="center"/>
    </xf>
    <xf numFmtId="0" fontId="27" fillId="48" borderId="8" applyNumberFormat="0" applyAlignment="0" applyProtection="0">
      <alignment vertical="center"/>
    </xf>
    <xf numFmtId="0" fontId="27" fillId="48" borderId="8" applyNumberFormat="0" applyAlignment="0" applyProtection="0">
      <alignment vertical="center"/>
    </xf>
    <xf numFmtId="0" fontId="27" fillId="48" borderId="8" applyNumberFormat="0" applyAlignment="0" applyProtection="0">
      <alignment vertical="center"/>
    </xf>
    <xf numFmtId="0" fontId="28" fillId="31" borderId="5" applyNumberFormat="0" applyAlignment="0" applyProtection="0">
      <alignment vertical="center"/>
    </xf>
    <xf numFmtId="0" fontId="28" fillId="31" borderId="5" applyNumberFormat="0" applyAlignment="0" applyProtection="0">
      <alignment vertical="center"/>
    </xf>
    <xf numFmtId="0" fontId="28" fillId="31" borderId="5" applyNumberFormat="0" applyAlignment="0" applyProtection="0">
      <alignment vertical="center"/>
    </xf>
    <xf numFmtId="0" fontId="28" fillId="31" borderId="5" applyNumberFormat="0" applyAlignment="0" applyProtection="0">
      <alignment vertical="center"/>
    </xf>
    <xf numFmtId="0" fontId="28" fillId="31" borderId="5" applyNumberFormat="0" applyAlignment="0" applyProtection="0">
      <alignment vertical="center"/>
    </xf>
    <xf numFmtId="0" fontId="28" fillId="31" borderId="5" applyNumberFormat="0" applyAlignment="0" applyProtection="0">
      <alignment vertical="center"/>
    </xf>
    <xf numFmtId="0" fontId="28" fillId="31" borderId="5" applyNumberFormat="0" applyAlignment="0" applyProtection="0">
      <alignment vertical="center"/>
    </xf>
    <xf numFmtId="0" fontId="28" fillId="31" borderId="5" applyNumberFormat="0" applyAlignment="0" applyProtection="0">
      <alignment vertical="center"/>
    </xf>
    <xf numFmtId="0" fontId="28" fillId="31" borderId="5" applyNumberFormat="0" applyAlignment="0" applyProtection="0">
      <alignment vertical="center"/>
    </xf>
    <xf numFmtId="0" fontId="28" fillId="31" borderId="5" applyNumberFormat="0" applyAlignment="0" applyProtection="0">
      <alignment vertical="center"/>
    </xf>
    <xf numFmtId="0" fontId="28" fillId="31" borderId="5" applyNumberFormat="0" applyAlignment="0" applyProtection="0">
      <alignment vertical="center"/>
    </xf>
    <xf numFmtId="0" fontId="28" fillId="31" borderId="5" applyNumberFormat="0" applyAlignment="0" applyProtection="0">
      <alignment vertical="center"/>
    </xf>
    <xf numFmtId="0" fontId="28" fillId="31" borderId="5" applyNumberFormat="0" applyAlignment="0" applyProtection="0">
      <alignment vertical="center"/>
    </xf>
    <xf numFmtId="0" fontId="28" fillId="31" borderId="5" applyNumberFormat="0" applyAlignment="0" applyProtection="0">
      <alignment vertical="center"/>
    </xf>
    <xf numFmtId="0" fontId="28" fillId="31" borderId="5" applyNumberFormat="0" applyAlignment="0" applyProtection="0">
      <alignment vertical="center"/>
    </xf>
    <xf numFmtId="0" fontId="28" fillId="31" borderId="5" applyNumberFormat="0" applyAlignment="0" applyProtection="0">
      <alignment vertical="center"/>
    </xf>
    <xf numFmtId="0" fontId="28" fillId="31" borderId="5" applyNumberFormat="0" applyAlignment="0" applyProtection="0">
      <alignment vertical="center"/>
    </xf>
    <xf numFmtId="0" fontId="28" fillId="31" borderId="5" applyNumberFormat="0" applyAlignment="0" applyProtection="0">
      <alignment vertical="center"/>
    </xf>
    <xf numFmtId="0" fontId="28" fillId="31" borderId="5" applyNumberFormat="0" applyAlignment="0" applyProtection="0">
      <alignment vertical="center"/>
    </xf>
    <xf numFmtId="0" fontId="28" fillId="31" borderId="5" applyNumberFormat="0" applyAlignment="0" applyProtection="0">
      <alignment vertical="center"/>
    </xf>
    <xf numFmtId="0" fontId="28" fillId="31" borderId="5" applyNumberFormat="0" applyAlignment="0" applyProtection="0">
      <alignment vertical="center"/>
    </xf>
    <xf numFmtId="0" fontId="74" fillId="0" borderId="0"/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7" fillId="0" borderId="0"/>
    <xf numFmtId="0" fontId="2" fillId="0" borderId="0"/>
    <xf numFmtId="0" fontId="2" fillId="0" borderId="0"/>
    <xf numFmtId="0" fontId="1" fillId="0" borderId="0">
      <alignment vertical="center"/>
    </xf>
    <xf numFmtId="9" fontId="53" fillId="0" borderId="0" applyFont="0" applyFill="0" applyBorder="0" applyAlignment="0" applyProtection="0">
      <alignment vertical="center"/>
    </xf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52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3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</cellStyleXfs>
  <cellXfs count="295">
    <xf numFmtId="0" fontId="0" fillId="0" borderId="0" xfId="0" applyAlignment="1">
      <alignment vertical="center"/>
    </xf>
    <xf numFmtId="0" fontId="5" fillId="0" borderId="0" xfId="1836" applyFont="1" applyAlignment="1">
      <alignment vertical="top"/>
    </xf>
    <xf numFmtId="0" fontId="11" fillId="0" borderId="0" xfId="1836" applyFont="1">
      <alignment vertical="center"/>
    </xf>
    <xf numFmtId="0" fontId="2" fillId="0" borderId="0" xfId="1836" applyFont="1">
      <alignment vertical="center"/>
    </xf>
    <xf numFmtId="0" fontId="54" fillId="0" borderId="17" xfId="1501" applyFont="1" applyBorder="1">
      <alignment vertical="center"/>
    </xf>
    <xf numFmtId="1" fontId="55" fillId="0" borderId="17" xfId="2392" applyNumberFormat="1" applyFont="1" applyFill="1" applyBorder="1" applyAlignment="1" applyProtection="1">
      <alignment vertical="center"/>
      <protection locked="0"/>
    </xf>
    <xf numFmtId="1" fontId="55" fillId="0" borderId="17" xfId="2392" applyNumberFormat="1" applyFont="1" applyFill="1" applyBorder="1" applyAlignment="1" applyProtection="1">
      <alignment horizontal="left" vertical="center"/>
      <protection locked="0"/>
    </xf>
    <xf numFmtId="0" fontId="56" fillId="0" borderId="17" xfId="1501" applyFont="1" applyBorder="1">
      <alignment vertical="center"/>
    </xf>
    <xf numFmtId="1" fontId="57" fillId="0" borderId="17" xfId="2392" applyNumberFormat="1" applyFont="1" applyFill="1" applyBorder="1" applyAlignment="1" applyProtection="1">
      <alignment vertical="center"/>
      <protection locked="0"/>
    </xf>
    <xf numFmtId="0" fontId="2" fillId="0" borderId="0" xfId="0" applyFont="1" applyAlignment="1">
      <alignment vertical="center"/>
    </xf>
    <xf numFmtId="191" fontId="2" fillId="0" borderId="0" xfId="2834" applyNumberFormat="1">
      <alignment vertical="center"/>
    </xf>
    <xf numFmtId="0" fontId="3" fillId="0" borderId="0" xfId="2834" applyFont="1" applyAlignment="1">
      <alignment horizontal="center" vertical="center"/>
    </xf>
    <xf numFmtId="0" fontId="67" fillId="0" borderId="0" xfId="2834" applyFont="1">
      <alignment vertical="center"/>
    </xf>
    <xf numFmtId="0" fontId="2" fillId="0" borderId="0" xfId="2834" applyFont="1">
      <alignment vertical="center"/>
    </xf>
    <xf numFmtId="0" fontId="2" fillId="0" borderId="0" xfId="2834">
      <alignment vertical="center"/>
    </xf>
    <xf numFmtId="191" fontId="2" fillId="0" borderId="0" xfId="2834" applyNumberFormat="1" applyAlignment="1">
      <alignment horizontal="right" vertical="center"/>
    </xf>
    <xf numFmtId="0" fontId="6" fillId="0" borderId="0" xfId="1501">
      <alignment vertical="center"/>
    </xf>
    <xf numFmtId="0" fontId="6" fillId="0" borderId="0" xfId="1501" applyBorder="1">
      <alignment vertical="center"/>
    </xf>
    <xf numFmtId="0" fontId="61" fillId="0" borderId="0" xfId="1501" applyFont="1" applyBorder="1" applyAlignment="1">
      <alignment vertical="center"/>
    </xf>
    <xf numFmtId="0" fontId="6" fillId="0" borderId="0" xfId="1501" applyBorder="1">
      <alignment vertical="center"/>
    </xf>
    <xf numFmtId="0" fontId="61" fillId="0" borderId="0" xfId="1501" applyFont="1" applyBorder="1" applyAlignment="1">
      <alignment vertical="center"/>
    </xf>
    <xf numFmtId="0" fontId="6" fillId="0" borderId="0" xfId="1501" applyFont="1" applyBorder="1" applyAlignment="1">
      <alignment horizontal="right" vertical="center"/>
    </xf>
    <xf numFmtId="0" fontId="2" fillId="0" borderId="0" xfId="1522" applyAlignment="1"/>
    <xf numFmtId="0" fontId="2" fillId="0" borderId="0" xfId="1522" applyFill="1" applyAlignment="1"/>
    <xf numFmtId="0" fontId="2" fillId="0" borderId="0" xfId="1522" applyNumberFormat="1" applyFont="1" applyFill="1" applyBorder="1" applyAlignment="1" applyProtection="1"/>
    <xf numFmtId="0" fontId="8" fillId="0" borderId="0" xfId="2834" applyFont="1">
      <alignment vertical="center"/>
    </xf>
    <xf numFmtId="0" fontId="69" fillId="0" borderId="0" xfId="0" applyFont="1" applyAlignment="1">
      <alignment vertical="center"/>
    </xf>
    <xf numFmtId="0" fontId="69" fillId="0" borderId="0" xfId="2834" applyFont="1">
      <alignment vertical="center"/>
    </xf>
    <xf numFmtId="0" fontId="69" fillId="0" borderId="1" xfId="1501" applyFont="1" applyBorder="1">
      <alignment vertical="center"/>
    </xf>
    <xf numFmtId="0" fontId="69" fillId="0" borderId="0" xfId="0" applyFont="1">
      <alignment vertical="center"/>
    </xf>
    <xf numFmtId="0" fontId="69" fillId="0" borderId="0" xfId="1525" applyFont="1">
      <alignment vertical="center"/>
    </xf>
    <xf numFmtId="0" fontId="56" fillId="0" borderId="1" xfId="1529" applyFont="1" applyFill="1" applyBorder="1" applyAlignment="1">
      <alignment horizontal="center" vertical="center"/>
    </xf>
    <xf numFmtId="0" fontId="54" fillId="0" borderId="1" xfId="2555" applyFont="1" applyFill="1" applyBorder="1" applyAlignment="1">
      <alignment horizontal="left" vertical="center"/>
    </xf>
    <xf numFmtId="0" fontId="57" fillId="0" borderId="1" xfId="2803" applyFont="1" applyBorder="1" applyAlignment="1">
      <alignment horizontal="center" vertical="center"/>
    </xf>
    <xf numFmtId="0" fontId="55" fillId="0" borderId="1" xfId="2816" applyFont="1" applyBorder="1" applyAlignment="1">
      <alignment horizontal="center" vertical="center"/>
    </xf>
    <xf numFmtId="0" fontId="55" fillId="0" borderId="1" xfId="2816" applyFont="1" applyBorder="1" applyAlignment="1">
      <alignment vertical="center"/>
    </xf>
    <xf numFmtId="0" fontId="55" fillId="0" borderId="1" xfId="2816" applyFont="1" applyBorder="1" applyAlignment="1">
      <alignment horizontal="left" vertical="center" wrapText="1"/>
    </xf>
    <xf numFmtId="0" fontId="54" fillId="0" borderId="1" xfId="1501" applyFont="1" applyBorder="1">
      <alignment vertical="center"/>
    </xf>
    <xf numFmtId="0" fontId="56" fillId="0" borderId="1" xfId="1501" applyFont="1" applyBorder="1" applyAlignment="1">
      <alignment horizontal="center" vertical="center"/>
    </xf>
    <xf numFmtId="0" fontId="56" fillId="0" borderId="1" xfId="1501" applyFont="1" applyBorder="1">
      <alignment vertical="center"/>
    </xf>
    <xf numFmtId="0" fontId="54" fillId="0" borderId="1" xfId="1501" applyFont="1" applyBorder="1" applyAlignment="1">
      <alignment horizontal="left" vertical="center"/>
    </xf>
    <xf numFmtId="191" fontId="8" fillId="0" borderId="0" xfId="2834" applyNumberFormat="1" applyFont="1">
      <alignment vertical="center"/>
    </xf>
    <xf numFmtId="0" fontId="55" fillId="0" borderId="0" xfId="2834" applyFont="1">
      <alignment vertical="center"/>
    </xf>
    <xf numFmtId="0" fontId="68" fillId="0" borderId="0" xfId="2834" applyFont="1">
      <alignment vertical="center"/>
    </xf>
    <xf numFmtId="49" fontId="72" fillId="0" borderId="1" xfId="2850" applyNumberFormat="1" applyFont="1" applyBorder="1"/>
    <xf numFmtId="0" fontId="55" fillId="0" borderId="1" xfId="0" applyFont="1" applyBorder="1" applyAlignment="1">
      <alignment vertical="center"/>
    </xf>
    <xf numFmtId="49" fontId="72" fillId="0" borderId="1" xfId="2850" applyNumberFormat="1" applyFont="1" applyBorder="1" applyAlignment="1">
      <alignment horizontal="left" indent="2"/>
    </xf>
    <xf numFmtId="49" fontId="72" fillId="0" borderId="1" xfId="2850" applyNumberFormat="1" applyFont="1" applyBorder="1" applyAlignment="1"/>
    <xf numFmtId="0" fontId="54" fillId="0" borderId="1" xfId="1501" applyFont="1" applyBorder="1" applyAlignment="1">
      <alignment horizontal="left" vertical="center" indent="2"/>
    </xf>
    <xf numFmtId="0" fontId="54" fillId="0" borderId="1" xfId="1501" applyFont="1" applyBorder="1" applyAlignment="1">
      <alignment vertical="center"/>
    </xf>
    <xf numFmtId="0" fontId="0" fillId="0" borderId="1" xfId="0" applyBorder="1" applyAlignment="1">
      <alignment vertical="center"/>
    </xf>
    <xf numFmtId="1" fontId="55" fillId="0" borderId="17" xfId="2392" applyNumberFormat="1" applyFont="1" applyFill="1" applyBorder="1" applyAlignment="1" applyProtection="1">
      <alignment horizontal="left" vertical="center" indent="1"/>
      <protection locked="0"/>
    </xf>
    <xf numFmtId="0" fontId="55" fillId="0" borderId="1" xfId="2851" applyFont="1" applyBorder="1" applyAlignment="1">
      <alignment horizontal="left" vertical="center" indent="1"/>
    </xf>
    <xf numFmtId="0" fontId="55" fillId="0" borderId="1" xfId="2851" applyFont="1" applyBorder="1">
      <alignment vertical="center"/>
    </xf>
    <xf numFmtId="0" fontId="57" fillId="0" borderId="17" xfId="2392" applyFont="1" applyFill="1" applyBorder="1" applyAlignment="1">
      <alignment horizontal="center" vertical="center" wrapText="1"/>
    </xf>
    <xf numFmtId="0" fontId="57" fillId="0" borderId="1" xfId="2392" applyFont="1" applyFill="1" applyBorder="1" applyAlignment="1">
      <alignment horizontal="center" vertical="center" wrapText="1"/>
    </xf>
    <xf numFmtId="0" fontId="57" fillId="0" borderId="1" xfId="0" applyFont="1" applyBorder="1" applyAlignment="1">
      <alignment horizontal="center" vertical="center" wrapText="1"/>
    </xf>
    <xf numFmtId="0" fontId="57" fillId="0" borderId="1" xfId="2851" applyFont="1" applyBorder="1">
      <alignment vertical="center"/>
    </xf>
    <xf numFmtId="0" fontId="57" fillId="0" borderId="1" xfId="2851" applyFont="1" applyBorder="1" applyAlignment="1">
      <alignment horizontal="center" vertical="center" wrapText="1"/>
    </xf>
    <xf numFmtId="0" fontId="61" fillId="0" borderId="0" xfId="1501" applyFont="1" applyBorder="1" applyAlignment="1">
      <alignment horizontal="right" vertical="center"/>
    </xf>
    <xf numFmtId="0" fontId="79" fillId="0" borderId="1" xfId="1501" applyFont="1" applyBorder="1" applyAlignment="1">
      <alignment horizontal="center" vertical="center"/>
    </xf>
    <xf numFmtId="0" fontId="57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2" fillId="0" borderId="0" xfId="1836" applyFont="1" applyAlignment="1">
      <alignment horizontal="center" vertical="center"/>
    </xf>
    <xf numFmtId="0" fontId="80" fillId="0" borderId="0" xfId="1836" applyFont="1" applyFill="1">
      <alignment vertical="center"/>
    </xf>
    <xf numFmtId="3" fontId="55" fillId="0" borderId="1" xfId="2832" applyNumberFormat="1" applyFont="1" applyFill="1" applyBorder="1" applyAlignment="1" applyProtection="1">
      <alignment vertical="center"/>
    </xf>
    <xf numFmtId="0" fontId="56" fillId="0" borderId="1" xfId="1501" applyFont="1" applyBorder="1" applyAlignment="1">
      <alignment horizontal="center" vertical="center" wrapText="1"/>
    </xf>
    <xf numFmtId="0" fontId="56" fillId="0" borderId="1" xfId="1525" applyFont="1" applyFill="1" applyBorder="1" applyAlignment="1">
      <alignment horizontal="center" vertical="center" wrapText="1"/>
    </xf>
    <xf numFmtId="49" fontId="84" fillId="0" borderId="1" xfId="4987" applyNumberFormat="1" applyFont="1" applyBorder="1" applyAlignment="1">
      <alignment horizontal="left" vertical="center" wrapText="1"/>
    </xf>
    <xf numFmtId="49" fontId="72" fillId="0" borderId="1" xfId="4987" applyNumberFormat="1" applyFont="1" applyBorder="1" applyAlignment="1">
      <alignment horizontal="left" vertical="center" wrapText="1"/>
    </xf>
    <xf numFmtId="0" fontId="61" fillId="0" borderId="0" xfId="1501" applyFont="1" applyBorder="1" applyAlignment="1">
      <alignment horizontal="center" vertical="center"/>
    </xf>
    <xf numFmtId="0" fontId="60" fillId="0" borderId="1" xfId="0" applyFont="1" applyBorder="1" applyAlignment="1">
      <alignment horizontal="center" vertical="center" wrapText="1"/>
    </xf>
    <xf numFmtId="0" fontId="55" fillId="50" borderId="1" xfId="2851" applyFont="1" applyFill="1" applyBorder="1" applyAlignment="1">
      <alignment horizontal="left" vertical="center" indent="1"/>
    </xf>
    <xf numFmtId="0" fontId="54" fillId="50" borderId="1" xfId="1501" applyFont="1" applyFill="1" applyBorder="1">
      <alignment vertical="center"/>
    </xf>
    <xf numFmtId="0" fontId="81" fillId="0" borderId="1" xfId="1836" applyFont="1" applyFill="1" applyBorder="1" applyAlignment="1">
      <alignment horizontal="center" vertical="center"/>
    </xf>
    <xf numFmtId="0" fontId="81" fillId="0" borderId="1" xfId="1836" applyFont="1" applyFill="1" applyBorder="1">
      <alignment vertical="center"/>
    </xf>
    <xf numFmtId="0" fontId="82" fillId="0" borderId="1" xfId="1836" applyFont="1" applyFill="1" applyBorder="1">
      <alignment vertical="center"/>
    </xf>
    <xf numFmtId="190" fontId="59" fillId="0" borderId="1" xfId="0" applyNumberFormat="1" applyFont="1" applyFill="1" applyBorder="1" applyAlignment="1" applyProtection="1">
      <alignment horizontal="right" vertical="center"/>
    </xf>
    <xf numFmtId="1" fontId="54" fillId="0" borderId="1" xfId="1529" applyNumberFormat="1" applyFont="1" applyBorder="1" applyAlignment="1">
      <alignment vertical="center"/>
    </xf>
    <xf numFmtId="0" fontId="54" fillId="0" borderId="1" xfId="1525" applyFont="1" applyBorder="1" applyAlignment="1">
      <alignment vertical="center" wrapText="1"/>
    </xf>
    <xf numFmtId="0" fontId="57" fillId="0" borderId="1" xfId="2851" applyFont="1" applyFill="1" applyBorder="1" applyAlignment="1">
      <alignment vertical="center"/>
    </xf>
    <xf numFmtId="0" fontId="55" fillId="0" borderId="1" xfId="2851" applyFont="1" applyFill="1" applyBorder="1" applyAlignment="1">
      <alignment horizontal="left" vertical="center" indent="1"/>
    </xf>
    <xf numFmtId="0" fontId="55" fillId="0" borderId="1" xfId="2816" applyNumberFormat="1" applyFont="1" applyBorder="1" applyAlignment="1">
      <alignment horizontal="center" vertical="center"/>
    </xf>
    <xf numFmtId="0" fontId="55" fillId="0" borderId="1" xfId="2816" applyNumberFormat="1" applyFont="1" applyFill="1" applyBorder="1" applyAlignment="1">
      <alignment horizontal="center" vertical="center"/>
    </xf>
    <xf numFmtId="0" fontId="60" fillId="0" borderId="1" xfId="0" applyFont="1" applyBorder="1" applyAlignment="1">
      <alignment horizontal="center" vertical="center" wrapText="1"/>
    </xf>
    <xf numFmtId="3" fontId="55" fillId="0" borderId="24" xfId="2832" applyNumberFormat="1" applyFont="1" applyFill="1" applyBorder="1" applyAlignment="1" applyProtection="1">
      <alignment vertical="center"/>
    </xf>
    <xf numFmtId="192" fontId="55" fillId="0" borderId="1" xfId="2832" applyNumberFormat="1" applyFont="1" applyFill="1" applyBorder="1" applyAlignment="1" applyProtection="1">
      <alignment horizontal="left" vertical="center" indent="1"/>
    </xf>
    <xf numFmtId="0" fontId="54" fillId="0" borderId="1" xfId="1501" applyFont="1" applyBorder="1" applyAlignment="1">
      <alignment horizontal="left" vertical="center" indent="1"/>
    </xf>
    <xf numFmtId="0" fontId="54" fillId="0" borderId="24" xfId="1501" applyFont="1" applyBorder="1">
      <alignment vertical="center"/>
    </xf>
    <xf numFmtId="0" fontId="54" fillId="0" borderId="1" xfId="1501" applyNumberFormat="1" applyFont="1" applyBorder="1">
      <alignment vertical="center"/>
    </xf>
    <xf numFmtId="1" fontId="54" fillId="0" borderId="1" xfId="1501" applyNumberFormat="1" applyFont="1" applyBorder="1">
      <alignment vertical="center"/>
    </xf>
    <xf numFmtId="0" fontId="55" fillId="0" borderId="24" xfId="0" applyFont="1" applyBorder="1" applyAlignment="1">
      <alignment vertical="center"/>
    </xf>
    <xf numFmtId="0" fontId="54" fillId="0" borderId="17" xfId="1501" applyFont="1" applyBorder="1" applyAlignment="1">
      <alignment horizontal="left" vertical="center" indent="1"/>
    </xf>
    <xf numFmtId="1" fontId="55" fillId="0" borderId="1" xfId="0" applyNumberFormat="1" applyFont="1" applyBorder="1" applyAlignment="1">
      <alignment vertical="center" wrapText="1"/>
    </xf>
    <xf numFmtId="0" fontId="55" fillId="0" borderId="1" xfId="2392" applyFont="1" applyFill="1" applyBorder="1" applyAlignment="1">
      <alignment vertical="center" wrapText="1"/>
    </xf>
    <xf numFmtId="0" fontId="83" fillId="0" borderId="0" xfId="1836" applyFont="1" applyBorder="1" applyAlignment="1">
      <alignment vertical="center" wrapText="1"/>
    </xf>
    <xf numFmtId="0" fontId="81" fillId="0" borderId="1" xfId="1836" applyFont="1" applyFill="1" applyBorder="1" applyAlignment="1">
      <alignment horizontal="left" vertical="center"/>
    </xf>
    <xf numFmtId="193" fontId="55" fillId="0" borderId="1" xfId="2392" applyNumberFormat="1" applyFont="1" applyFill="1" applyBorder="1" applyAlignment="1">
      <alignment vertical="center" wrapText="1"/>
    </xf>
    <xf numFmtId="193" fontId="55" fillId="0" borderId="1" xfId="0" applyNumberFormat="1" applyFont="1" applyBorder="1" applyAlignment="1">
      <alignment vertical="center" wrapText="1"/>
    </xf>
    <xf numFmtId="193" fontId="55" fillId="0" borderId="1" xfId="2392" applyNumberFormat="1" applyFont="1" applyFill="1" applyBorder="1" applyAlignment="1">
      <alignment horizontal="right" vertical="center" wrapText="1"/>
    </xf>
    <xf numFmtId="193" fontId="55" fillId="0" borderId="1" xfId="0" applyNumberFormat="1" applyFont="1" applyBorder="1" applyAlignment="1">
      <alignment horizontal="right" vertical="center" wrapText="1"/>
    </xf>
    <xf numFmtId="193" fontId="55" fillId="0" borderId="24" xfId="2392" applyNumberFormat="1" applyFont="1" applyFill="1" applyBorder="1" applyAlignment="1">
      <alignment horizontal="right" vertical="center" wrapText="1"/>
    </xf>
    <xf numFmtId="190" fontId="55" fillId="0" borderId="1" xfId="0" applyNumberFormat="1" applyFont="1" applyFill="1" applyBorder="1" applyAlignment="1" applyProtection="1">
      <alignment vertical="center"/>
    </xf>
    <xf numFmtId="0" fontId="55" fillId="0" borderId="17" xfId="2392" applyFont="1" applyFill="1" applyBorder="1" applyAlignment="1">
      <alignment horizontal="center" vertical="center"/>
    </xf>
    <xf numFmtId="190" fontId="55" fillId="0" borderId="1" xfId="0" applyNumberFormat="1" applyFont="1" applyFill="1" applyBorder="1" applyAlignment="1" applyProtection="1">
      <alignment horizontal="right" vertical="center"/>
    </xf>
    <xf numFmtId="193" fontId="55" fillId="0" borderId="0" xfId="0" applyNumberFormat="1" applyFont="1" applyAlignment="1">
      <alignment horizontal="right" vertical="center"/>
    </xf>
    <xf numFmtId="0" fontId="55" fillId="0" borderId="1" xfId="0" applyFont="1" applyBorder="1" applyAlignment="1">
      <alignment horizontal="right" vertical="center" wrapText="1"/>
    </xf>
    <xf numFmtId="0" fontId="54" fillId="0" borderId="25" xfId="1501" applyFont="1" applyBorder="1" applyAlignment="1">
      <alignment horizontal="left" vertical="center" indent="1"/>
    </xf>
    <xf numFmtId="0" fontId="81" fillId="0" borderId="0" xfId="2392" applyFont="1"/>
    <xf numFmtId="0" fontId="81" fillId="0" borderId="0" xfId="0" applyFont="1" applyAlignment="1">
      <alignment vertical="center"/>
    </xf>
    <xf numFmtId="0" fontId="81" fillId="0" borderId="0" xfId="2392" applyFont="1" applyFill="1" applyAlignment="1">
      <alignment vertical="center"/>
    </xf>
    <xf numFmtId="0" fontId="69" fillId="0" borderId="0" xfId="0" applyFont="1" applyAlignment="1">
      <alignment horizontal="right" vertical="center"/>
    </xf>
    <xf numFmtId="0" fontId="81" fillId="0" borderId="0" xfId="2392" applyFont="1" applyFill="1"/>
    <xf numFmtId="3" fontId="55" fillId="0" borderId="1" xfId="2801" applyNumberFormat="1" applyFont="1" applyFill="1" applyBorder="1" applyAlignment="1" applyProtection="1">
      <alignment vertical="center"/>
    </xf>
    <xf numFmtId="0" fontId="55" fillId="0" borderId="1" xfId="0" applyFont="1" applyBorder="1" applyAlignment="1">
      <alignment vertical="center" wrapText="1"/>
    </xf>
    <xf numFmtId="0" fontId="55" fillId="0" borderId="1" xfId="2800" applyFont="1" applyFill="1" applyBorder="1" applyAlignment="1"/>
    <xf numFmtId="0" fontId="57" fillId="0" borderId="1" xfId="2800" applyFont="1" applyFill="1" applyBorder="1" applyAlignment="1">
      <alignment horizontal="center" vertical="center"/>
    </xf>
    <xf numFmtId="1" fontId="57" fillId="0" borderId="1" xfId="2800" applyNumberFormat="1" applyFont="1" applyFill="1" applyBorder="1" applyAlignment="1" applyProtection="1">
      <alignment vertical="center"/>
      <protection locked="0"/>
    </xf>
    <xf numFmtId="1" fontId="55" fillId="0" borderId="1" xfId="2800" applyNumberFormat="1" applyFont="1" applyFill="1" applyBorder="1" applyAlignment="1" applyProtection="1">
      <alignment horizontal="left" vertical="center"/>
      <protection locked="0"/>
    </xf>
    <xf numFmtId="0" fontId="55" fillId="0" borderId="21" xfId="4991" applyFont="1" applyBorder="1" applyAlignment="1">
      <alignment horizontal="left" vertical="center" indent="1"/>
    </xf>
    <xf numFmtId="0" fontId="55" fillId="0" borderId="21" xfId="0" applyFont="1" applyBorder="1" applyAlignment="1">
      <alignment horizontal="left" vertical="center" indent="1"/>
    </xf>
    <xf numFmtId="0" fontId="57" fillId="0" borderId="21" xfId="1192" applyFont="1" applyFill="1" applyBorder="1" applyAlignment="1">
      <alignment horizontal="center" vertical="center"/>
    </xf>
    <xf numFmtId="0" fontId="57" fillId="0" borderId="1" xfId="1192" applyFont="1" applyFill="1" applyBorder="1" applyAlignment="1">
      <alignment horizontal="center" vertical="center"/>
    </xf>
    <xf numFmtId="0" fontId="55" fillId="0" borderId="24" xfId="0" applyNumberFormat="1" applyFont="1" applyBorder="1" applyAlignment="1">
      <alignment horizontal="center" vertical="center"/>
    </xf>
    <xf numFmtId="194" fontId="55" fillId="0" borderId="24" xfId="0" applyNumberFormat="1" applyFont="1" applyBorder="1" applyAlignment="1">
      <alignment vertical="center"/>
    </xf>
    <xf numFmtId="194" fontId="55" fillId="0" borderId="24" xfId="0" applyNumberFormat="1" applyFont="1" applyBorder="1" applyAlignment="1">
      <alignment vertical="center" wrapText="1"/>
    </xf>
    <xf numFmtId="190" fontId="55" fillId="0" borderId="24" xfId="0" applyNumberFormat="1" applyFont="1" applyFill="1" applyBorder="1" applyAlignment="1" applyProtection="1">
      <alignment vertical="center"/>
    </xf>
    <xf numFmtId="194" fontId="55" fillId="0" borderId="24" xfId="2800" applyNumberFormat="1" applyFont="1" applyFill="1" applyBorder="1" applyAlignment="1"/>
    <xf numFmtId="190" fontId="55" fillId="0" borderId="24" xfId="0" applyNumberFormat="1" applyFont="1" applyFill="1" applyBorder="1" applyAlignment="1" applyProtection="1">
      <alignment horizontal="right" vertical="center"/>
    </xf>
    <xf numFmtId="194" fontId="55" fillId="0" borderId="24" xfId="2800" applyNumberFormat="1" applyFont="1" applyFill="1" applyBorder="1" applyAlignment="1" applyProtection="1">
      <alignment vertical="center"/>
      <protection locked="0"/>
    </xf>
    <xf numFmtId="0" fontId="81" fillId="0" borderId="0" xfId="2392" applyFont="1" applyAlignment="1">
      <alignment vertical="center"/>
    </xf>
    <xf numFmtId="0" fontId="88" fillId="0" borderId="0" xfId="1529" applyFont="1">
      <alignment vertical="center"/>
    </xf>
    <xf numFmtId="0" fontId="89" fillId="0" borderId="0" xfId="1529" applyFont="1">
      <alignment vertical="center"/>
    </xf>
    <xf numFmtId="49" fontId="90" fillId="0" borderId="0" xfId="4986" applyNumberFormat="1" applyFont="1"/>
    <xf numFmtId="0" fontId="88" fillId="0" borderId="0" xfId="1525" applyFont="1">
      <alignment vertical="center"/>
    </xf>
    <xf numFmtId="0" fontId="89" fillId="0" borderId="0" xfId="1525" applyFont="1">
      <alignment vertical="center"/>
    </xf>
    <xf numFmtId="0" fontId="89" fillId="0" borderId="0" xfId="1525" applyFont="1" applyAlignment="1">
      <alignment horizontal="left" vertical="center" wrapText="1"/>
    </xf>
    <xf numFmtId="0" fontId="88" fillId="0" borderId="0" xfId="1525" applyFont="1" applyAlignment="1">
      <alignment horizontal="right" vertical="center"/>
    </xf>
    <xf numFmtId="0" fontId="56" fillId="0" borderId="0" xfId="1525" applyFont="1">
      <alignment vertical="center"/>
    </xf>
    <xf numFmtId="0" fontId="54" fillId="0" borderId="0" xfId="1525" applyFont="1">
      <alignment vertical="center"/>
    </xf>
    <xf numFmtId="0" fontId="81" fillId="0" borderId="0" xfId="2851" applyFont="1" applyAlignment="1">
      <alignment horizontal="center" vertical="center"/>
    </xf>
    <xf numFmtId="0" fontId="54" fillId="0" borderId="0" xfId="1501" applyFont="1" applyBorder="1" applyAlignment="1">
      <alignment horizontal="right" vertical="center"/>
    </xf>
    <xf numFmtId="0" fontId="81" fillId="0" borderId="0" xfId="194" applyFont="1" applyAlignment="1">
      <alignment vertical="center"/>
    </xf>
    <xf numFmtId="0" fontId="81" fillId="0" borderId="0" xfId="1687" applyFont="1" applyAlignment="1">
      <alignment horizontal="center" vertical="center"/>
    </xf>
    <xf numFmtId="0" fontId="55" fillId="0" borderId="0" xfId="1687" applyFont="1" applyAlignment="1">
      <alignment horizontal="right" vertical="center"/>
    </xf>
    <xf numFmtId="0" fontId="57" fillId="0" borderId="1" xfId="1687" applyFont="1" applyBorder="1" applyAlignment="1">
      <alignment horizontal="center" vertical="center"/>
    </xf>
    <xf numFmtId="0" fontId="55" fillId="0" borderId="1" xfId="1687" applyFont="1" applyBorder="1" applyAlignment="1">
      <alignment horizontal="center" vertical="center"/>
    </xf>
    <xf numFmtId="0" fontId="81" fillId="0" borderId="0" xfId="0" applyFont="1" applyBorder="1">
      <alignment vertical="center"/>
    </xf>
    <xf numFmtId="0" fontId="81" fillId="0" borderId="0" xfId="0" applyFont="1">
      <alignment vertical="center"/>
    </xf>
    <xf numFmtId="0" fontId="55" fillId="50" borderId="0" xfId="0" applyFont="1" applyFill="1" applyAlignment="1">
      <alignment vertical="center" wrapText="1"/>
    </xf>
    <xf numFmtId="0" fontId="55" fillId="0" borderId="0" xfId="0" applyFont="1" applyAlignment="1">
      <alignment horizontal="center" vertical="center" wrapText="1"/>
    </xf>
    <xf numFmtId="0" fontId="55" fillId="0" borderId="0" xfId="0" applyFont="1" applyAlignment="1">
      <alignment horizontal="center" vertical="center"/>
    </xf>
    <xf numFmtId="0" fontId="54" fillId="0" borderId="0" xfId="1501" applyFont="1" applyBorder="1">
      <alignment vertical="center"/>
    </xf>
    <xf numFmtId="0" fontId="88" fillId="0" borderId="0" xfId="1501" applyFont="1" applyBorder="1" applyAlignment="1">
      <alignment vertical="center"/>
    </xf>
    <xf numFmtId="0" fontId="88" fillId="0" borderId="0" xfId="1501" applyFont="1" applyBorder="1" applyAlignment="1">
      <alignment horizontal="right" vertical="center"/>
    </xf>
    <xf numFmtId="0" fontId="55" fillId="0" borderId="1" xfId="2801" applyNumberFormat="1" applyFont="1" applyFill="1" applyBorder="1" applyAlignment="1" applyProtection="1">
      <alignment vertical="center"/>
    </xf>
    <xf numFmtId="1" fontId="55" fillId="0" borderId="1" xfId="2801" applyNumberFormat="1" applyFont="1" applyFill="1" applyBorder="1" applyAlignment="1" applyProtection="1">
      <alignment vertical="center"/>
    </xf>
    <xf numFmtId="3" fontId="55" fillId="0" borderId="24" xfId="2801" applyNumberFormat="1" applyFont="1" applyFill="1" applyBorder="1" applyAlignment="1" applyProtection="1">
      <alignment vertical="center"/>
    </xf>
    <xf numFmtId="0" fontId="57" fillId="0" borderId="21" xfId="1192" applyFont="1" applyFill="1" applyBorder="1" applyAlignment="1">
      <alignment horizontal="left" vertical="center"/>
    </xf>
    <xf numFmtId="1" fontId="55" fillId="0" borderId="1" xfId="0" applyNumberFormat="1" applyFont="1" applyBorder="1" applyAlignment="1">
      <alignment vertical="center"/>
    </xf>
    <xf numFmtId="0" fontId="57" fillId="0" borderId="21" xfId="1192" applyFont="1" applyFill="1" applyBorder="1" applyAlignment="1">
      <alignment vertical="center"/>
    </xf>
    <xf numFmtId="0" fontId="55" fillId="50" borderId="1" xfId="0" applyFont="1" applyFill="1" applyBorder="1" applyAlignment="1">
      <alignment vertical="center"/>
    </xf>
    <xf numFmtId="0" fontId="57" fillId="0" borderId="1" xfId="2834" applyFont="1" applyBorder="1" applyAlignment="1">
      <alignment horizontal="distributed" vertical="center" wrapText="1" indent="3"/>
    </xf>
    <xf numFmtId="191" fontId="57" fillId="0" borderId="1" xfId="2834" applyNumberFormat="1" applyFont="1" applyBorder="1" applyAlignment="1">
      <alignment horizontal="center" vertical="center" wrapText="1"/>
    </xf>
    <xf numFmtId="0" fontId="54" fillId="0" borderId="1" xfId="1522" applyNumberFormat="1" applyFont="1" applyFill="1" applyBorder="1" applyAlignment="1" applyProtection="1">
      <alignment horizontal="left" vertical="center" wrapText="1"/>
    </xf>
    <xf numFmtId="0" fontId="55" fillId="0" borderId="1" xfId="2834" applyFont="1" applyFill="1" applyBorder="1">
      <alignment vertical="center"/>
    </xf>
    <xf numFmtId="0" fontId="55" fillId="0" borderId="1" xfId="2834" applyFont="1" applyBorder="1">
      <alignment vertical="center"/>
    </xf>
    <xf numFmtId="0" fontId="56" fillId="0" borderId="1" xfId="1522" applyNumberFormat="1" applyFont="1" applyFill="1" applyBorder="1" applyAlignment="1" applyProtection="1">
      <alignment horizontal="center" vertical="center" wrapText="1"/>
    </xf>
    <xf numFmtId="3" fontId="55" fillId="0" borderId="1" xfId="2834" applyNumberFormat="1" applyFont="1" applyBorder="1">
      <alignment vertical="center"/>
    </xf>
    <xf numFmtId="0" fontId="55" fillId="0" borderId="1" xfId="0" applyNumberFormat="1" applyFont="1" applyBorder="1" applyAlignment="1">
      <alignment vertical="center"/>
    </xf>
    <xf numFmtId="0" fontId="55" fillId="0" borderId="1" xfId="0" applyNumberFormat="1" applyFont="1" applyBorder="1" applyAlignment="1">
      <alignment horizontal="right" vertical="center"/>
    </xf>
    <xf numFmtId="0" fontId="55" fillId="0" borderId="1" xfId="2834" applyNumberFormat="1" applyFont="1" applyBorder="1" applyAlignment="1">
      <alignment horizontal="right" vertical="center"/>
    </xf>
    <xf numFmtId="0" fontId="55" fillId="0" borderId="1" xfId="2834" applyNumberFormat="1" applyFont="1" applyBorder="1">
      <alignment vertical="center"/>
    </xf>
    <xf numFmtId="0" fontId="57" fillId="0" borderId="1" xfId="2834" applyFont="1" applyBorder="1" applyAlignment="1">
      <alignment horizontal="center" vertical="center"/>
    </xf>
    <xf numFmtId="0" fontId="54" fillId="0" borderId="1" xfId="1522" applyNumberFormat="1" applyFont="1" applyFill="1" applyBorder="1" applyAlignment="1" applyProtection="1">
      <alignment horizontal="center" vertical="center" wrapText="1"/>
    </xf>
    <xf numFmtId="0" fontId="56" fillId="0" borderId="1" xfId="1522" applyNumberFormat="1" applyFont="1" applyFill="1" applyBorder="1" applyAlignment="1" applyProtection="1">
      <alignment horizontal="left" vertical="center" wrapText="1"/>
    </xf>
    <xf numFmtId="49" fontId="72" fillId="0" borderId="1" xfId="2838" applyNumberFormat="1" applyFont="1" applyBorder="1" applyAlignment="1">
      <alignment vertical="center"/>
    </xf>
    <xf numFmtId="49" fontId="72" fillId="50" borderId="1" xfId="2838" applyNumberFormat="1" applyFont="1" applyFill="1" applyBorder="1" applyAlignment="1">
      <alignment vertical="center"/>
    </xf>
    <xf numFmtId="0" fontId="55" fillId="0" borderId="1" xfId="1522" applyNumberFormat="1" applyFont="1" applyFill="1" applyBorder="1" applyAlignment="1">
      <alignment vertical="center"/>
    </xf>
    <xf numFmtId="0" fontId="55" fillId="0" borderId="1" xfId="1522" applyNumberFormat="1" applyFont="1" applyBorder="1" applyAlignment="1">
      <alignment vertical="center"/>
    </xf>
    <xf numFmtId="0" fontId="54" fillId="50" borderId="1" xfId="1522" applyNumberFormat="1" applyFont="1" applyFill="1" applyBorder="1" applyAlignment="1" applyProtection="1">
      <alignment horizontal="left" vertical="center" wrapText="1"/>
    </xf>
    <xf numFmtId="49" fontId="72" fillId="0" borderId="1" xfId="2845" applyNumberFormat="1" applyFont="1" applyBorder="1" applyAlignment="1">
      <alignment vertical="center"/>
    </xf>
    <xf numFmtId="49" fontId="72" fillId="0" borderId="1" xfId="2848" applyNumberFormat="1" applyFont="1" applyBorder="1" applyAlignment="1">
      <alignment vertical="center"/>
    </xf>
    <xf numFmtId="49" fontId="72" fillId="0" borderId="1" xfId="2846" applyNumberFormat="1" applyFont="1" applyBorder="1" applyAlignment="1">
      <alignment vertical="center"/>
    </xf>
    <xf numFmtId="49" fontId="72" fillId="0" borderId="1" xfId="2849" applyNumberFormat="1" applyFont="1" applyBorder="1" applyAlignment="1">
      <alignment vertical="center"/>
    </xf>
    <xf numFmtId="49" fontId="72" fillId="0" borderId="1" xfId="2840" applyNumberFormat="1" applyFont="1" applyBorder="1" applyAlignment="1">
      <alignment vertical="center"/>
    </xf>
    <xf numFmtId="193" fontId="57" fillId="0" borderId="1" xfId="2392" applyNumberFormat="1" applyFont="1" applyFill="1" applyBorder="1" applyAlignment="1">
      <alignment horizontal="right" vertical="center" wrapText="1"/>
    </xf>
    <xf numFmtId="190" fontId="57" fillId="0" borderId="1" xfId="0" applyNumberFormat="1" applyFont="1" applyFill="1" applyBorder="1" applyAlignment="1" applyProtection="1">
      <alignment vertical="center"/>
    </xf>
    <xf numFmtId="0" fontId="57" fillId="0" borderId="17" xfId="2392" applyFont="1" applyFill="1" applyBorder="1" applyAlignment="1">
      <alignment horizontal="center" vertical="center"/>
    </xf>
    <xf numFmtId="190" fontId="57" fillId="0" borderId="1" xfId="0" applyNumberFormat="1" applyFont="1" applyFill="1" applyBorder="1" applyAlignment="1" applyProtection="1">
      <alignment horizontal="right" vertical="center"/>
    </xf>
    <xf numFmtId="193" fontId="57" fillId="0" borderId="1" xfId="2392" applyNumberFormat="1" applyFont="1" applyFill="1" applyBorder="1" applyAlignment="1">
      <alignment vertical="center" wrapText="1"/>
    </xf>
    <xf numFmtId="193" fontId="55" fillId="0" borderId="24" xfId="0" applyNumberFormat="1" applyFont="1" applyBorder="1" applyAlignment="1">
      <alignment horizontal="right" vertical="center"/>
    </xf>
    <xf numFmtId="0" fontId="57" fillId="0" borderId="24" xfId="1192" applyNumberFormat="1" applyFont="1" applyFill="1" applyBorder="1" applyAlignment="1">
      <alignment horizontal="center" vertical="center"/>
    </xf>
    <xf numFmtId="0" fontId="57" fillId="0" borderId="24" xfId="0" applyNumberFormat="1" applyFont="1" applyBorder="1" applyAlignment="1">
      <alignment horizontal="center" vertical="center"/>
    </xf>
    <xf numFmtId="193" fontId="54" fillId="0" borderId="1" xfId="1525" applyNumberFormat="1" applyFont="1" applyBorder="1" applyAlignment="1">
      <alignment vertical="center" wrapText="1"/>
    </xf>
    <xf numFmtId="0" fontId="55" fillId="0" borderId="24" xfId="2851" applyFont="1" applyFill="1" applyBorder="1" applyAlignment="1">
      <alignment horizontal="left" vertical="center" indent="1"/>
    </xf>
    <xf numFmtId="0" fontId="55" fillId="0" borderId="24" xfId="2851" applyFont="1" applyFill="1" applyBorder="1">
      <alignment vertical="center"/>
    </xf>
    <xf numFmtId="193" fontId="55" fillId="0" borderId="1" xfId="2816" applyNumberFormat="1" applyFont="1" applyBorder="1" applyAlignment="1">
      <alignment horizontal="center" vertical="center"/>
    </xf>
    <xf numFmtId="193" fontId="55" fillId="0" borderId="1" xfId="2816" applyNumberFormat="1" applyFont="1" applyBorder="1" applyAlignment="1">
      <alignment horizontal="center" vertical="center" wrapText="1"/>
    </xf>
    <xf numFmtId="193" fontId="54" fillId="0" borderId="1" xfId="1501" applyNumberFormat="1" applyFont="1" applyBorder="1" applyAlignment="1">
      <alignment vertical="center"/>
    </xf>
    <xf numFmtId="193" fontId="54" fillId="0" borderId="1" xfId="1501" applyNumberFormat="1" applyFont="1" applyBorder="1">
      <alignment vertical="center"/>
    </xf>
    <xf numFmtId="0" fontId="55" fillId="0" borderId="24" xfId="2801" applyNumberFormat="1" applyFont="1" applyFill="1" applyBorder="1" applyAlignment="1" applyProtection="1">
      <alignment vertical="center"/>
    </xf>
    <xf numFmtId="1" fontId="55" fillId="0" borderId="24" xfId="2801" applyNumberFormat="1" applyFont="1" applyFill="1" applyBorder="1" applyAlignment="1" applyProtection="1">
      <alignment vertical="center"/>
    </xf>
    <xf numFmtId="0" fontId="54" fillId="0" borderId="24" xfId="1501" applyNumberFormat="1" applyFont="1" applyBorder="1">
      <alignment vertical="center"/>
    </xf>
    <xf numFmtId="1" fontId="54" fillId="0" borderId="24" xfId="1501" applyNumberFormat="1" applyFont="1" applyBorder="1">
      <alignment vertical="center"/>
    </xf>
    <xf numFmtId="0" fontId="55" fillId="0" borderId="24" xfId="1522" applyNumberFormat="1" applyFont="1" applyFill="1" applyBorder="1" applyAlignment="1">
      <alignment vertical="center"/>
    </xf>
    <xf numFmtId="0" fontId="55" fillId="0" borderId="24" xfId="1522" applyNumberFormat="1" applyFont="1" applyBorder="1" applyAlignment="1">
      <alignment vertical="center"/>
    </xf>
    <xf numFmtId="49" fontId="72" fillId="0" borderId="24" xfId="2840" applyNumberFormat="1" applyFont="1" applyBorder="1" applyAlignment="1">
      <alignment vertical="center"/>
    </xf>
    <xf numFmtId="0" fontId="55" fillId="0" borderId="1" xfId="2800" applyFont="1" applyFill="1" applyBorder="1" applyAlignment="1">
      <alignment vertical="center" wrapText="1"/>
    </xf>
    <xf numFmtId="0" fontId="55" fillId="0" borderId="1" xfId="2800" applyFont="1" applyFill="1" applyBorder="1" applyAlignment="1">
      <alignment vertical="center"/>
    </xf>
    <xf numFmtId="0" fontId="55" fillId="0" borderId="24" xfId="1192" applyNumberFormat="1" applyFont="1" applyFill="1" applyBorder="1" applyAlignment="1">
      <alignment horizontal="center" vertical="center"/>
    </xf>
    <xf numFmtId="194" fontId="55" fillId="0" borderId="24" xfId="2800" applyNumberFormat="1" applyFont="1" applyFill="1" applyBorder="1" applyAlignment="1">
      <alignment horizontal="right" vertical="center"/>
    </xf>
    <xf numFmtId="194" fontId="55" fillId="0" borderId="24" xfId="2800" applyNumberFormat="1" applyFont="1" applyFill="1" applyBorder="1" applyAlignment="1">
      <alignment vertical="center"/>
    </xf>
    <xf numFmtId="193" fontId="89" fillId="0" borderId="24" xfId="1525" applyNumberFormat="1" applyFont="1" applyBorder="1">
      <alignment vertical="center"/>
    </xf>
    <xf numFmtId="0" fontId="54" fillId="0" borderId="24" xfId="1525" applyFont="1" applyBorder="1">
      <alignment vertical="center"/>
    </xf>
    <xf numFmtId="0" fontId="57" fillId="0" borderId="24" xfId="0" applyFont="1" applyBorder="1" applyAlignment="1">
      <alignment horizontal="center" vertical="center" wrapText="1"/>
    </xf>
    <xf numFmtId="0" fontId="8" fillId="0" borderId="0" xfId="1522" applyFont="1" applyAlignment="1"/>
    <xf numFmtId="0" fontId="54" fillId="0" borderId="0" xfId="1529" applyFont="1">
      <alignment vertical="center"/>
    </xf>
    <xf numFmtId="0" fontId="81" fillId="0" borderId="0" xfId="4129" applyFont="1" applyAlignment="1"/>
    <xf numFmtId="0" fontId="55" fillId="0" borderId="0" xfId="4129" applyFont="1" applyAlignment="1"/>
    <xf numFmtId="0" fontId="53" fillId="0" borderId="0" xfId="4129" applyFont="1" applyAlignment="1">
      <alignment horizontal="left" vertical="center"/>
    </xf>
    <xf numFmtId="0" fontId="53" fillId="0" borderId="0" xfId="4129" applyFont="1" applyBorder="1" applyAlignment="1">
      <alignment horizontal="right" vertical="center"/>
    </xf>
    <xf numFmtId="0" fontId="98" fillId="0" borderId="24" xfId="4129" applyFont="1" applyBorder="1" applyAlignment="1">
      <alignment horizontal="center" vertical="center"/>
    </xf>
    <xf numFmtId="0" fontId="99" fillId="0" borderId="0" xfId="4129" applyFont="1" applyAlignment="1"/>
    <xf numFmtId="193" fontId="53" fillId="0" borderId="24" xfId="4129" applyNumberFormat="1" applyFont="1" applyBorder="1" applyAlignment="1">
      <alignment vertical="center" wrapText="1"/>
    </xf>
    <xf numFmtId="193" fontId="99" fillId="0" borderId="28" xfId="4129" applyNumberFormat="1" applyFont="1" applyBorder="1" applyAlignment="1">
      <alignment wrapText="1"/>
    </xf>
    <xf numFmtId="0" fontId="99" fillId="0" borderId="0" xfId="4129" applyFont="1" applyAlignment="1">
      <alignment wrapText="1"/>
    </xf>
    <xf numFmtId="0" fontId="81" fillId="0" borderId="0" xfId="4129" applyFont="1" applyAlignment="1">
      <alignment wrapText="1"/>
    </xf>
    <xf numFmtId="0" fontId="100" fillId="0" borderId="0" xfId="4129" applyNumberFormat="1" applyFont="1" applyAlignment="1"/>
    <xf numFmtId="195" fontId="100" fillId="0" borderId="0" xfId="4129" applyNumberFormat="1" applyFont="1" applyAlignment="1"/>
    <xf numFmtId="196" fontId="81" fillId="0" borderId="0" xfId="4129" applyNumberFormat="1" applyFont="1" applyAlignment="1"/>
    <xf numFmtId="0" fontId="81" fillId="0" borderId="0" xfId="4129" applyNumberFormat="1" applyFont="1" applyAlignment="1"/>
    <xf numFmtId="0" fontId="55" fillId="0" borderId="24" xfId="4129" applyFont="1" applyBorder="1" applyAlignment="1">
      <alignment vertical="center"/>
    </xf>
    <xf numFmtId="197" fontId="81" fillId="0" borderId="0" xfId="4129" applyNumberFormat="1" applyFont="1" applyAlignment="1"/>
    <xf numFmtId="0" fontId="2" fillId="0" borderId="0" xfId="4129" applyAlignment="1"/>
    <xf numFmtId="198" fontId="81" fillId="0" borderId="0" xfId="4129" applyNumberFormat="1" applyFont="1" applyAlignment="1"/>
    <xf numFmtId="0" fontId="8" fillId="0" borderId="0" xfId="4129" applyFont="1" applyAlignment="1"/>
    <xf numFmtId="0" fontId="103" fillId="0" borderId="0" xfId="4129" applyFont="1" applyAlignment="1">
      <alignment horizontal="left" vertical="center"/>
    </xf>
    <xf numFmtId="0" fontId="104" fillId="0" borderId="0" xfId="4129" applyFont="1" applyBorder="1" applyAlignment="1">
      <alignment horizontal="right" vertical="center"/>
    </xf>
    <xf numFmtId="1" fontId="53" fillId="0" borderId="24" xfId="4129" applyNumberFormat="1" applyFont="1" applyBorder="1" applyAlignment="1">
      <alignment vertical="center" wrapText="1"/>
    </xf>
    <xf numFmtId="1" fontId="2" fillId="0" borderId="0" xfId="4129" applyNumberFormat="1" applyAlignment="1"/>
    <xf numFmtId="0" fontId="55" fillId="0" borderId="24" xfId="4129" applyFont="1" applyBorder="1" applyAlignment="1">
      <alignment horizontal="right" vertical="center"/>
    </xf>
    <xf numFmtId="0" fontId="53" fillId="0" borderId="24" xfId="4129" applyFont="1" applyBorder="1" applyAlignment="1">
      <alignment horizontal="right" vertical="center"/>
    </xf>
    <xf numFmtId="0" fontId="2" fillId="0" borderId="0" xfId="4129" applyAlignment="1">
      <alignment vertical="center"/>
    </xf>
    <xf numFmtId="0" fontId="2" fillId="0" borderId="0" xfId="4129" applyAlignment="1">
      <alignment horizontal="right" vertical="center"/>
    </xf>
    <xf numFmtId="0" fontId="81" fillId="0" borderId="24" xfId="4129" applyNumberFormat="1" applyFont="1" applyBorder="1" applyAlignment="1">
      <alignment horizontal="center" vertical="center" wrapText="1"/>
    </xf>
    <xf numFmtId="193" fontId="81" fillId="0" borderId="24" xfId="4129" applyNumberFormat="1" applyFont="1" applyBorder="1" applyAlignment="1">
      <alignment vertical="center" wrapText="1"/>
    </xf>
    <xf numFmtId="0" fontId="2" fillId="0" borderId="0" xfId="1836" applyFont="1" applyAlignment="1">
      <alignment horizontal="left" vertical="center"/>
    </xf>
    <xf numFmtId="0" fontId="85" fillId="0" borderId="1" xfId="1836" applyFont="1" applyFill="1" applyBorder="1" applyAlignment="1">
      <alignment horizontal="left" vertical="center"/>
    </xf>
    <xf numFmtId="0" fontId="91" fillId="0" borderId="0" xfId="1836" applyFont="1" applyFill="1" applyAlignment="1">
      <alignment horizontal="center" vertical="top"/>
    </xf>
    <xf numFmtId="0" fontId="92" fillId="0" borderId="0" xfId="2392" applyFont="1" applyFill="1" applyAlignment="1">
      <alignment horizontal="center" vertical="center"/>
    </xf>
    <xf numFmtId="0" fontId="94" fillId="0" borderId="0" xfId="2392" applyFont="1" applyFill="1" applyAlignment="1">
      <alignment horizontal="center" vertical="center"/>
    </xf>
    <xf numFmtId="0" fontId="55" fillId="0" borderId="0" xfId="0" applyFont="1" applyAlignment="1">
      <alignment horizontal="left" vertical="center" wrapText="1"/>
    </xf>
    <xf numFmtId="0" fontId="57" fillId="0" borderId="24" xfId="1192" applyFont="1" applyFill="1" applyBorder="1" applyAlignment="1">
      <alignment horizontal="center" vertical="center"/>
    </xf>
    <xf numFmtId="0" fontId="57" fillId="0" borderId="24" xfId="1192" applyFont="1" applyFill="1" applyBorder="1">
      <alignment vertical="center"/>
    </xf>
    <xf numFmtId="0" fontId="57" fillId="0" borderId="23" xfId="2392" applyFont="1" applyFill="1" applyBorder="1" applyAlignment="1">
      <alignment horizontal="center" vertical="center" wrapText="1"/>
    </xf>
    <xf numFmtId="0" fontId="57" fillId="0" borderId="22" xfId="2392" applyFont="1" applyFill="1" applyBorder="1" applyAlignment="1">
      <alignment horizontal="center" vertical="center" wrapText="1"/>
    </xf>
    <xf numFmtId="0" fontId="57" fillId="0" borderId="23" xfId="0" applyFont="1" applyBorder="1" applyAlignment="1">
      <alignment horizontal="center" vertical="center" wrapText="1"/>
    </xf>
    <xf numFmtId="0" fontId="57" fillId="0" borderId="22" xfId="0" applyFont="1" applyBorder="1" applyAlignment="1">
      <alignment horizontal="center" vertical="center" wrapText="1"/>
    </xf>
    <xf numFmtId="0" fontId="57" fillId="0" borderId="25" xfId="2800" applyFont="1" applyFill="1" applyBorder="1" applyAlignment="1">
      <alignment vertical="center"/>
    </xf>
    <xf numFmtId="0" fontId="57" fillId="0" borderId="26" xfId="2800" applyFont="1" applyFill="1" applyBorder="1" applyAlignment="1">
      <alignment vertical="center"/>
    </xf>
    <xf numFmtId="1" fontId="57" fillId="0" borderId="25" xfId="2800" applyNumberFormat="1" applyFont="1" applyFill="1" applyBorder="1" applyAlignment="1" applyProtection="1">
      <alignment vertical="center"/>
      <protection locked="0"/>
    </xf>
    <xf numFmtId="1" fontId="57" fillId="0" borderId="26" xfId="2800" applyNumberFormat="1" applyFont="1" applyFill="1" applyBorder="1" applyAlignment="1" applyProtection="1">
      <alignment vertical="center"/>
      <protection locked="0"/>
    </xf>
    <xf numFmtId="1" fontId="55" fillId="0" borderId="25" xfId="2800" applyNumberFormat="1" applyFont="1" applyFill="1" applyBorder="1" applyAlignment="1" applyProtection="1">
      <alignment vertical="center"/>
      <protection locked="0"/>
    </xf>
    <xf numFmtId="1" fontId="55" fillId="0" borderId="26" xfId="2800" applyNumberFormat="1" applyFont="1" applyFill="1" applyBorder="1" applyAlignment="1" applyProtection="1">
      <alignment vertical="center"/>
      <protection locked="0"/>
    </xf>
    <xf numFmtId="0" fontId="93" fillId="0" borderId="0" xfId="1529" applyFont="1" applyFill="1" applyAlignment="1">
      <alignment horizontal="center" vertical="center"/>
    </xf>
    <xf numFmtId="0" fontId="54" fillId="0" borderId="20" xfId="1529" applyFont="1" applyBorder="1" applyAlignment="1">
      <alignment horizontal="left" vertical="center" wrapText="1"/>
    </xf>
    <xf numFmtId="0" fontId="93" fillId="0" borderId="0" xfId="1525" applyFont="1" applyFill="1" applyAlignment="1">
      <alignment horizontal="center" vertical="center"/>
    </xf>
    <xf numFmtId="0" fontId="92" fillId="0" borderId="0" xfId="2851" applyFont="1" applyFill="1" applyAlignment="1">
      <alignment horizontal="center" vertical="center"/>
    </xf>
    <xf numFmtId="0" fontId="94" fillId="0" borderId="0" xfId="0" applyFont="1" applyFill="1" applyBorder="1" applyAlignment="1">
      <alignment horizontal="center" vertical="center"/>
    </xf>
    <xf numFmtId="0" fontId="81" fillId="0" borderId="0" xfId="0" applyFont="1" applyBorder="1" applyAlignment="1">
      <alignment horizontal="right" vertical="center"/>
    </xf>
    <xf numFmtId="0" fontId="93" fillId="0" borderId="0" xfId="1501" applyFont="1" applyFill="1" applyAlignment="1">
      <alignment horizontal="center" vertical="center"/>
    </xf>
    <xf numFmtId="0" fontId="95" fillId="0" borderId="0" xfId="1501" applyFont="1" applyFill="1" applyAlignment="1">
      <alignment horizontal="center" vertical="center"/>
    </xf>
    <xf numFmtId="0" fontId="56" fillId="0" borderId="25" xfId="1501" applyFont="1" applyBorder="1" applyAlignment="1">
      <alignment vertical="center"/>
    </xf>
    <xf numFmtId="0" fontId="56" fillId="0" borderId="26" xfId="1501" applyFont="1" applyBorder="1" applyAlignment="1">
      <alignment vertical="center"/>
    </xf>
    <xf numFmtId="0" fontId="54" fillId="0" borderId="25" xfId="1501" applyFont="1" applyBorder="1" applyAlignment="1">
      <alignment horizontal="left" vertical="center" indent="1"/>
    </xf>
    <xf numFmtId="0" fontId="54" fillId="0" borderId="26" xfId="1501" applyFont="1" applyBorder="1" applyAlignment="1">
      <alignment horizontal="left" vertical="center" indent="1"/>
    </xf>
    <xf numFmtId="0" fontId="56" fillId="0" borderId="25" xfId="1501" applyFont="1" applyBorder="1" applyAlignment="1">
      <alignment horizontal="center" vertical="center"/>
    </xf>
    <xf numFmtId="0" fontId="56" fillId="0" borderId="26" xfId="1501" applyFont="1" applyBorder="1" applyAlignment="1">
      <alignment horizontal="center" vertical="center"/>
    </xf>
    <xf numFmtId="0" fontId="56" fillId="0" borderId="27" xfId="1501" applyFont="1" applyBorder="1" applyAlignment="1">
      <alignment horizontal="center" vertical="center"/>
    </xf>
    <xf numFmtId="0" fontId="56" fillId="0" borderId="22" xfId="1501" applyFont="1" applyBorder="1" applyAlignment="1">
      <alignment horizontal="center" vertical="center"/>
    </xf>
    <xf numFmtId="0" fontId="57" fillId="0" borderId="27" xfId="0" applyFont="1" applyBorder="1" applyAlignment="1">
      <alignment horizontal="center" vertical="center" wrapText="1"/>
    </xf>
    <xf numFmtId="0" fontId="81" fillId="0" borderId="20" xfId="0" applyFont="1" applyBorder="1" applyAlignment="1">
      <alignment horizontal="left" vertical="center" wrapText="1"/>
    </xf>
    <xf numFmtId="0" fontId="96" fillId="0" borderId="0" xfId="2834" applyFont="1" applyFill="1" applyAlignment="1">
      <alignment horizontal="center" vertical="center"/>
    </xf>
    <xf numFmtId="0" fontId="95" fillId="0" borderId="0" xfId="1522" applyNumberFormat="1" applyFont="1" applyFill="1" applyBorder="1" applyAlignment="1" applyProtection="1">
      <alignment horizontal="center" vertical="center"/>
    </xf>
    <xf numFmtId="0" fontId="55" fillId="0" borderId="0" xfId="4129" applyFont="1" applyAlignment="1">
      <alignment horizontal="left" vertical="center" wrapText="1"/>
    </xf>
    <xf numFmtId="0" fontId="98" fillId="0" borderId="24" xfId="4129" applyFont="1" applyBorder="1" applyAlignment="1">
      <alignment horizontal="center" vertical="center"/>
    </xf>
    <xf numFmtId="0" fontId="55" fillId="0" borderId="24" xfId="4129" applyFont="1" applyBorder="1">
      <alignment vertical="center"/>
    </xf>
    <xf numFmtId="0" fontId="94" fillId="0" borderId="0" xfId="4129" applyFont="1" applyAlignment="1">
      <alignment horizontal="center" vertical="center"/>
    </xf>
    <xf numFmtId="0" fontId="101" fillId="0" borderId="0" xfId="4129" applyFont="1" applyAlignment="1">
      <alignment horizontal="center" vertical="center"/>
    </xf>
    <xf numFmtId="0" fontId="102" fillId="0" borderId="0" xfId="4129" applyFont="1" applyAlignment="1">
      <alignment horizontal="center" vertical="center"/>
    </xf>
    <xf numFmtId="0" fontId="53" fillId="0" borderId="24" xfId="4129" applyFont="1" applyBorder="1" applyAlignment="1">
      <alignment horizontal="left" vertical="center"/>
    </xf>
    <xf numFmtId="0" fontId="105" fillId="0" borderId="0" xfId="4129" applyFont="1" applyAlignment="1">
      <alignment horizontal="center" vertical="center"/>
    </xf>
    <xf numFmtId="0" fontId="81" fillId="0" borderId="24" xfId="4129" applyNumberFormat="1" applyFont="1" applyBorder="1" applyAlignment="1">
      <alignment horizontal="center" vertical="center" wrapText="1"/>
    </xf>
  </cellXfs>
  <cellStyles count="14217">
    <cellStyle name="?鹎%U龡&amp;H齲_x0001_C铣_x0014__x0007__x0001__x0001_" xfId="28"/>
    <cellStyle name="?鹎%U龡&amp;H齲_x0001_C铣_x0014__x0007__x0001__x0001_ 10" xfId="4992"/>
    <cellStyle name="?鹎%U龡&amp;H齲_x0001_C铣_x0014__x0007__x0001__x0001_ 10 2" xfId="4993"/>
    <cellStyle name="?鹎%U龡&amp;H齲_x0001_C铣_x0014__x0007__x0001__x0001_ 2" xfId="3"/>
    <cellStyle name="?鹎%U龡&amp;H齲_x0001_C铣_x0014__x0007__x0001__x0001_ 2 10" xfId="4994"/>
    <cellStyle name="?鹎%U龡&amp;H齲_x0001_C铣_x0014__x0007__x0001__x0001_ 2 11" xfId="4995"/>
    <cellStyle name="?鹎%U龡&amp;H齲_x0001_C铣_x0014__x0007__x0001__x0001_ 2 11 2" xfId="4996"/>
    <cellStyle name="?鹎%U龡&amp;H齲_x0001_C铣_x0014__x0007__x0001__x0001_ 2 2" xfId="16"/>
    <cellStyle name="?鹎%U龡&amp;H齲_x0001_C铣_x0014__x0007__x0001__x0001_ 2 2 10" xfId="33"/>
    <cellStyle name="?鹎%U龡&amp;H齲_x0001_C铣_x0014__x0007__x0001__x0001_ 2 2 10 2" xfId="2855"/>
    <cellStyle name="?鹎%U龡&amp;H齲_x0001_C铣_x0014__x0007__x0001__x0001_ 2 2 11" xfId="44"/>
    <cellStyle name="?鹎%U龡&amp;H齲_x0001_C铣_x0014__x0007__x0001__x0001_ 2 2 11 2" xfId="2856"/>
    <cellStyle name="?鹎%U龡&amp;H齲_x0001_C铣_x0014__x0007__x0001__x0001_ 2 2 12" xfId="2854"/>
    <cellStyle name="?鹎%U龡&amp;H齲_x0001_C铣_x0014__x0007__x0001__x0001_ 2 2 2" xfId="51"/>
    <cellStyle name="?鹎%U龡&amp;H齲_x0001_C铣_x0014__x0007__x0001__x0001_ 2 2 2 10" xfId="2857"/>
    <cellStyle name="?鹎%U龡&amp;H齲_x0001_C铣_x0014__x0007__x0001__x0001_ 2 2 2 2" xfId="54"/>
    <cellStyle name="?鹎%U龡&amp;H齲_x0001_C铣_x0014__x0007__x0001__x0001_ 2 2 2 2 2" xfId="56"/>
    <cellStyle name="?鹎%U龡&amp;H齲_x0001_C铣_x0014__x0007__x0001__x0001_ 2 2 2 2 2 2" xfId="60"/>
    <cellStyle name="?鹎%U龡&amp;H齲_x0001_C铣_x0014__x0007__x0001__x0001_ 2 2 2 2 2 2 2" xfId="2860"/>
    <cellStyle name="?鹎%U龡&amp;H齲_x0001_C铣_x0014__x0007__x0001__x0001_ 2 2 2 2 2 3" xfId="67"/>
    <cellStyle name="?鹎%U龡&amp;H齲_x0001_C铣_x0014__x0007__x0001__x0001_ 2 2 2 2 2 3 2" xfId="2861"/>
    <cellStyle name="?鹎%U龡&amp;H齲_x0001_C铣_x0014__x0007__x0001__x0001_ 2 2 2 2 2 4" xfId="72"/>
    <cellStyle name="?鹎%U龡&amp;H齲_x0001_C铣_x0014__x0007__x0001__x0001_ 2 2 2 2 2 4 2" xfId="2862"/>
    <cellStyle name="?鹎%U龡&amp;H齲_x0001_C铣_x0014__x0007__x0001__x0001_ 2 2 2 2 2 5" xfId="2859"/>
    <cellStyle name="?鹎%U龡&amp;H齲_x0001_C铣_x0014__x0007__x0001__x0001_ 2 2 2 2 2_2015财政决算公开" xfId="2863"/>
    <cellStyle name="?鹎%U龡&amp;H齲_x0001_C铣_x0014__x0007__x0001__x0001_ 2 2 2 2 3" xfId="75"/>
    <cellStyle name="?鹎%U龡&amp;H齲_x0001_C铣_x0014__x0007__x0001__x0001_ 2 2 2 2 3 2" xfId="82"/>
    <cellStyle name="?鹎%U龡&amp;H齲_x0001_C铣_x0014__x0007__x0001__x0001_ 2 2 2 2 3 2 2" xfId="2865"/>
    <cellStyle name="?鹎%U龡&amp;H齲_x0001_C铣_x0014__x0007__x0001__x0001_ 2 2 2 2 3 3" xfId="89"/>
    <cellStyle name="?鹎%U龡&amp;H齲_x0001_C铣_x0014__x0007__x0001__x0001_ 2 2 2 2 3 3 2" xfId="2866"/>
    <cellStyle name="?鹎%U龡&amp;H齲_x0001_C铣_x0014__x0007__x0001__x0001_ 2 2 2 2 3 4" xfId="2864"/>
    <cellStyle name="?鹎%U龡&amp;H齲_x0001_C铣_x0014__x0007__x0001__x0001_ 2 2 2 2 3_2015财政决算公开" xfId="2867"/>
    <cellStyle name="?鹎%U龡&amp;H齲_x0001_C铣_x0014__x0007__x0001__x0001_ 2 2 2 2 4" xfId="11"/>
    <cellStyle name="?鹎%U龡&amp;H齲_x0001_C铣_x0014__x0007__x0001__x0001_ 2 2 2 2 4 2" xfId="48"/>
    <cellStyle name="?鹎%U龡&amp;H齲_x0001_C铣_x0014__x0007__x0001__x0001_ 2 2 2 2 4 2 2" xfId="2869"/>
    <cellStyle name="?鹎%U龡&amp;H齲_x0001_C铣_x0014__x0007__x0001__x0001_ 2 2 2 2 4 3" xfId="94"/>
    <cellStyle name="?鹎%U龡&amp;H齲_x0001_C铣_x0014__x0007__x0001__x0001_ 2 2 2 2 4 3 2" xfId="2870"/>
    <cellStyle name="?鹎%U龡&amp;H齲_x0001_C铣_x0014__x0007__x0001__x0001_ 2 2 2 2 4 4" xfId="98"/>
    <cellStyle name="?鹎%U龡&amp;H齲_x0001_C铣_x0014__x0007__x0001__x0001_ 2 2 2 2 4 4 2" xfId="2871"/>
    <cellStyle name="?鹎%U龡&amp;H齲_x0001_C铣_x0014__x0007__x0001__x0001_ 2 2 2 2 4 5" xfId="2868"/>
    <cellStyle name="?鹎%U龡&amp;H齲_x0001_C铣_x0014__x0007__x0001__x0001_ 2 2 2 2 4_2015财政决算公开" xfId="2872"/>
    <cellStyle name="?鹎%U龡&amp;H齲_x0001_C铣_x0014__x0007__x0001__x0001_ 2 2 2 2 5" xfId="103"/>
    <cellStyle name="?鹎%U龡&amp;H齲_x0001_C铣_x0014__x0007__x0001__x0001_ 2 2 2 2 5 2" xfId="2873"/>
    <cellStyle name="?鹎%U龡&amp;H齲_x0001_C铣_x0014__x0007__x0001__x0001_ 2 2 2 2 6" xfId="27"/>
    <cellStyle name="?鹎%U龡&amp;H齲_x0001_C铣_x0014__x0007__x0001__x0001_ 2 2 2 2 6 2" xfId="2874"/>
    <cellStyle name="?鹎%U龡&amp;H齲_x0001_C铣_x0014__x0007__x0001__x0001_ 2 2 2 2 7" xfId="105"/>
    <cellStyle name="?鹎%U龡&amp;H齲_x0001_C铣_x0014__x0007__x0001__x0001_ 2 2 2 2 7 2" xfId="2875"/>
    <cellStyle name="?鹎%U龡&amp;H齲_x0001_C铣_x0014__x0007__x0001__x0001_ 2 2 2 2 8" xfId="2858"/>
    <cellStyle name="?鹎%U龡&amp;H齲_x0001_C铣_x0014__x0007__x0001__x0001_ 2 2 2 2_2015财政决算公开" xfId="2876"/>
    <cellStyle name="?鹎%U龡&amp;H齲_x0001_C铣_x0014__x0007__x0001__x0001_ 2 2 2 3" xfId="106"/>
    <cellStyle name="?鹎%U龡&amp;H齲_x0001_C铣_x0014__x0007__x0001__x0001_ 2 2 2 3 2" xfId="108"/>
    <cellStyle name="?鹎%U龡&amp;H齲_x0001_C铣_x0014__x0007__x0001__x0001_ 2 2 2 3 2 2" xfId="2878"/>
    <cellStyle name="?鹎%U龡&amp;H齲_x0001_C铣_x0014__x0007__x0001__x0001_ 2 2 2 3 3" xfId="111"/>
    <cellStyle name="?鹎%U龡&amp;H齲_x0001_C铣_x0014__x0007__x0001__x0001_ 2 2 2 3 3 2" xfId="2879"/>
    <cellStyle name="?鹎%U龡&amp;H齲_x0001_C铣_x0014__x0007__x0001__x0001_ 2 2 2 3 4" xfId="113"/>
    <cellStyle name="?鹎%U龡&amp;H齲_x0001_C铣_x0014__x0007__x0001__x0001_ 2 2 2 3 4 2" xfId="2880"/>
    <cellStyle name="?鹎%U龡&amp;H齲_x0001_C铣_x0014__x0007__x0001__x0001_ 2 2 2 3 5" xfId="2877"/>
    <cellStyle name="?鹎%U龡&amp;H齲_x0001_C铣_x0014__x0007__x0001__x0001_ 2 2 2 3_2015财政决算公开" xfId="2881"/>
    <cellStyle name="?鹎%U龡&amp;H齲_x0001_C铣_x0014__x0007__x0001__x0001_ 2 2 2 4" xfId="114"/>
    <cellStyle name="?鹎%U龡&amp;H齲_x0001_C铣_x0014__x0007__x0001__x0001_ 2 2 2 4 2" xfId="19"/>
    <cellStyle name="?鹎%U龡&amp;H齲_x0001_C铣_x0014__x0007__x0001__x0001_ 2 2 2 4 2 2" xfId="2883"/>
    <cellStyle name="?鹎%U龡&amp;H齲_x0001_C铣_x0014__x0007__x0001__x0001_ 2 2 2 4 3" xfId="119"/>
    <cellStyle name="?鹎%U龡&amp;H齲_x0001_C铣_x0014__x0007__x0001__x0001_ 2 2 2 4 3 2" xfId="2884"/>
    <cellStyle name="?鹎%U龡&amp;H齲_x0001_C铣_x0014__x0007__x0001__x0001_ 2 2 2 4 4" xfId="120"/>
    <cellStyle name="?鹎%U龡&amp;H齲_x0001_C铣_x0014__x0007__x0001__x0001_ 2 2 2 4 4 2" xfId="2885"/>
    <cellStyle name="?鹎%U龡&amp;H齲_x0001_C铣_x0014__x0007__x0001__x0001_ 2 2 2 4 5" xfId="2882"/>
    <cellStyle name="?鹎%U龡&amp;H齲_x0001_C铣_x0014__x0007__x0001__x0001_ 2 2 2 4_2015财政决算公开" xfId="2886"/>
    <cellStyle name="?鹎%U龡&amp;H齲_x0001_C铣_x0014__x0007__x0001__x0001_ 2 2 2 5" xfId="121"/>
    <cellStyle name="?鹎%U龡&amp;H齲_x0001_C铣_x0014__x0007__x0001__x0001_ 2 2 2 5 2" xfId="62"/>
    <cellStyle name="?鹎%U龡&amp;H齲_x0001_C铣_x0014__x0007__x0001__x0001_ 2 2 2 5 2 2" xfId="2888"/>
    <cellStyle name="?鹎%U龡&amp;H齲_x0001_C铣_x0014__x0007__x0001__x0001_ 2 2 2 5 3" xfId="68"/>
    <cellStyle name="?鹎%U龡&amp;H齲_x0001_C铣_x0014__x0007__x0001__x0001_ 2 2 2 5 3 2" xfId="2889"/>
    <cellStyle name="?鹎%U龡&amp;H齲_x0001_C铣_x0014__x0007__x0001__x0001_ 2 2 2 5 4" xfId="2887"/>
    <cellStyle name="?鹎%U龡&amp;H齲_x0001_C铣_x0014__x0007__x0001__x0001_ 2 2 2 5_2015财政决算公开" xfId="2890"/>
    <cellStyle name="?鹎%U龡&amp;H齲_x0001_C铣_x0014__x0007__x0001__x0001_ 2 2 2 6" xfId="124"/>
    <cellStyle name="?鹎%U龡&amp;H齲_x0001_C铣_x0014__x0007__x0001__x0001_ 2 2 2 6 2" xfId="84"/>
    <cellStyle name="?鹎%U龡&amp;H齲_x0001_C铣_x0014__x0007__x0001__x0001_ 2 2 2 6 2 2" xfId="2892"/>
    <cellStyle name="?鹎%U龡&amp;H齲_x0001_C铣_x0014__x0007__x0001__x0001_ 2 2 2 6 3" xfId="126"/>
    <cellStyle name="?鹎%U龡&amp;H齲_x0001_C铣_x0014__x0007__x0001__x0001_ 2 2 2 6 3 2" xfId="2893"/>
    <cellStyle name="?鹎%U龡&amp;H齲_x0001_C铣_x0014__x0007__x0001__x0001_ 2 2 2 6 4" xfId="52"/>
    <cellStyle name="?鹎%U龡&amp;H齲_x0001_C铣_x0014__x0007__x0001__x0001_ 2 2 2 6 4 2" xfId="2894"/>
    <cellStyle name="?鹎%U龡&amp;H齲_x0001_C铣_x0014__x0007__x0001__x0001_ 2 2 2 6 5" xfId="2891"/>
    <cellStyle name="?鹎%U龡&amp;H齲_x0001_C铣_x0014__x0007__x0001__x0001_ 2 2 2 6_2015财政决算公开" xfId="2895"/>
    <cellStyle name="?鹎%U龡&amp;H齲_x0001_C铣_x0014__x0007__x0001__x0001_ 2 2 2 7" xfId="30"/>
    <cellStyle name="?鹎%U龡&amp;H齲_x0001_C铣_x0014__x0007__x0001__x0001_ 2 2 2 7 2" xfId="2896"/>
    <cellStyle name="?鹎%U龡&amp;H齲_x0001_C铣_x0014__x0007__x0001__x0001_ 2 2 2 8" xfId="38"/>
    <cellStyle name="?鹎%U龡&amp;H齲_x0001_C铣_x0014__x0007__x0001__x0001_ 2 2 2 8 2" xfId="2897"/>
    <cellStyle name="?鹎%U龡&amp;H齲_x0001_C铣_x0014__x0007__x0001__x0001_ 2 2 2 9" xfId="129"/>
    <cellStyle name="?鹎%U龡&amp;H齲_x0001_C铣_x0014__x0007__x0001__x0001_ 2 2 2 9 2" xfId="2898"/>
    <cellStyle name="?鹎%U龡&amp;H齲_x0001_C铣_x0014__x0007__x0001__x0001_ 2 2 2_2015财政决算公开" xfId="2899"/>
    <cellStyle name="?鹎%U龡&amp;H齲_x0001_C铣_x0014__x0007__x0001__x0001_ 2 2 3" xfId="92"/>
    <cellStyle name="?鹎%U龡&amp;H齲_x0001_C铣_x0014__x0007__x0001__x0001_ 2 2 3 2" xfId="132"/>
    <cellStyle name="?鹎%U龡&amp;H齲_x0001_C铣_x0014__x0007__x0001__x0001_ 2 2 3 2 2" xfId="133"/>
    <cellStyle name="?鹎%U龡&amp;H齲_x0001_C铣_x0014__x0007__x0001__x0001_ 2 2 3 2 2 2" xfId="2902"/>
    <cellStyle name="?鹎%U龡&amp;H齲_x0001_C铣_x0014__x0007__x0001__x0001_ 2 2 3 2 3" xfId="18"/>
    <cellStyle name="?鹎%U龡&amp;H齲_x0001_C铣_x0014__x0007__x0001__x0001_ 2 2 3 2 3 2" xfId="2903"/>
    <cellStyle name="?鹎%U龡&amp;H齲_x0001_C铣_x0014__x0007__x0001__x0001_ 2 2 3 2 4" xfId="118"/>
    <cellStyle name="?鹎%U龡&amp;H齲_x0001_C铣_x0014__x0007__x0001__x0001_ 2 2 3 2 4 2" xfId="2904"/>
    <cellStyle name="?鹎%U龡&amp;H齲_x0001_C铣_x0014__x0007__x0001__x0001_ 2 2 3 2 5" xfId="2901"/>
    <cellStyle name="?鹎%U龡&amp;H齲_x0001_C铣_x0014__x0007__x0001__x0001_ 2 2 3 2_2015财政决算公开" xfId="2905"/>
    <cellStyle name="?鹎%U龡&amp;H齲_x0001_C铣_x0014__x0007__x0001__x0001_ 2 2 3 3" xfId="55"/>
    <cellStyle name="?鹎%U龡&amp;H齲_x0001_C铣_x0014__x0007__x0001__x0001_ 2 2 3 3 2" xfId="57"/>
    <cellStyle name="?鹎%U龡&amp;H齲_x0001_C铣_x0014__x0007__x0001__x0001_ 2 2 3 3 2 2" xfId="2907"/>
    <cellStyle name="?鹎%U龡&amp;H齲_x0001_C铣_x0014__x0007__x0001__x0001_ 2 2 3 3 3" xfId="61"/>
    <cellStyle name="?鹎%U龡&amp;H齲_x0001_C铣_x0014__x0007__x0001__x0001_ 2 2 3 3 3 2" xfId="2908"/>
    <cellStyle name="?鹎%U龡&amp;H齲_x0001_C铣_x0014__x0007__x0001__x0001_ 2 2 3 3 4" xfId="2906"/>
    <cellStyle name="?鹎%U龡&amp;H齲_x0001_C铣_x0014__x0007__x0001__x0001_ 2 2 3 3_2015财政决算公开" xfId="2909"/>
    <cellStyle name="?鹎%U龡&amp;H齲_x0001_C铣_x0014__x0007__x0001__x0001_ 2 2 3 4" xfId="74"/>
    <cellStyle name="?鹎%U龡&amp;H齲_x0001_C铣_x0014__x0007__x0001__x0001_ 2 2 3 4 2" xfId="78"/>
    <cellStyle name="?鹎%U龡&amp;H齲_x0001_C铣_x0014__x0007__x0001__x0001_ 2 2 3 4 2 2" xfId="2911"/>
    <cellStyle name="?鹎%U龡&amp;H齲_x0001_C铣_x0014__x0007__x0001__x0001_ 2 2 3 4 3" xfId="83"/>
    <cellStyle name="?鹎%U龡&amp;H齲_x0001_C铣_x0014__x0007__x0001__x0001_ 2 2 3 4 3 2" xfId="2912"/>
    <cellStyle name="?鹎%U龡&amp;H齲_x0001_C铣_x0014__x0007__x0001__x0001_ 2 2 3 4 4" xfId="125"/>
    <cellStyle name="?鹎%U龡&amp;H齲_x0001_C铣_x0014__x0007__x0001__x0001_ 2 2 3 4 4 2" xfId="2913"/>
    <cellStyle name="?鹎%U龡&amp;H齲_x0001_C铣_x0014__x0007__x0001__x0001_ 2 2 3 4 5" xfId="2910"/>
    <cellStyle name="?鹎%U龡&amp;H齲_x0001_C铣_x0014__x0007__x0001__x0001_ 2 2 3 4_2015财政决算公开" xfId="2914"/>
    <cellStyle name="?鹎%U龡&amp;H齲_x0001_C铣_x0014__x0007__x0001__x0001_ 2 2 3 5" xfId="9"/>
    <cellStyle name="?鹎%U龡&amp;H齲_x0001_C铣_x0014__x0007__x0001__x0001_ 2 2 3 5 2" xfId="2915"/>
    <cellStyle name="?鹎%U龡&amp;H齲_x0001_C铣_x0014__x0007__x0001__x0001_ 2 2 3 6" xfId="101"/>
    <cellStyle name="?鹎%U龡&amp;H齲_x0001_C铣_x0014__x0007__x0001__x0001_ 2 2 3 6 2" xfId="2916"/>
    <cellStyle name="?鹎%U龡&amp;H齲_x0001_C铣_x0014__x0007__x0001__x0001_ 2 2 3 7" xfId="25"/>
    <cellStyle name="?鹎%U龡&amp;H齲_x0001_C铣_x0014__x0007__x0001__x0001_ 2 2 3 7 2" xfId="2917"/>
    <cellStyle name="?鹎%U龡&amp;H齲_x0001_C铣_x0014__x0007__x0001__x0001_ 2 2 3 8" xfId="2900"/>
    <cellStyle name="?鹎%U龡&amp;H齲_x0001_C铣_x0014__x0007__x0001__x0001_ 2 2 3_2015财政决算公开" xfId="2918"/>
    <cellStyle name="?鹎%U龡&amp;H齲_x0001_C铣_x0014__x0007__x0001__x0001_ 2 2 4" xfId="96"/>
    <cellStyle name="?鹎%U龡&amp;H齲_x0001_C铣_x0014__x0007__x0001__x0001_ 2 2 4 2" xfId="4"/>
    <cellStyle name="?鹎%U龡&amp;H齲_x0001_C铣_x0014__x0007__x0001__x0001_ 2 2 4 2 2" xfId="2920"/>
    <cellStyle name="?鹎%U龡&amp;H齲_x0001_C铣_x0014__x0007__x0001__x0001_ 2 2 4 3" xfId="107"/>
    <cellStyle name="?鹎%U龡&amp;H齲_x0001_C铣_x0014__x0007__x0001__x0001_ 2 2 4 3 2" xfId="2921"/>
    <cellStyle name="?鹎%U龡&amp;H齲_x0001_C铣_x0014__x0007__x0001__x0001_ 2 2 4 4" xfId="110"/>
    <cellStyle name="?鹎%U龡&amp;H齲_x0001_C铣_x0014__x0007__x0001__x0001_ 2 2 4 4 2" xfId="2922"/>
    <cellStyle name="?鹎%U龡&amp;H齲_x0001_C铣_x0014__x0007__x0001__x0001_ 2 2 4 5" xfId="2919"/>
    <cellStyle name="?鹎%U龡&amp;H齲_x0001_C铣_x0014__x0007__x0001__x0001_ 2 2 4_2015财政决算公开" xfId="2923"/>
    <cellStyle name="?鹎%U龡&amp;H齲_x0001_C铣_x0014__x0007__x0001__x0001_ 2 2 5" xfId="131"/>
    <cellStyle name="?鹎%U龡&amp;H齲_x0001_C铣_x0014__x0007__x0001__x0001_ 2 2 5 2" xfId="136"/>
    <cellStyle name="?鹎%U龡&amp;H齲_x0001_C铣_x0014__x0007__x0001__x0001_ 2 2 5 2 2" xfId="2925"/>
    <cellStyle name="?鹎%U龡&amp;H齲_x0001_C铣_x0014__x0007__x0001__x0001_ 2 2 5 3" xfId="138"/>
    <cellStyle name="?鹎%U龡&amp;H齲_x0001_C铣_x0014__x0007__x0001__x0001_ 2 2 5 3 2" xfId="2926"/>
    <cellStyle name="?鹎%U龡&amp;H齲_x0001_C铣_x0014__x0007__x0001__x0001_ 2 2 5 4" xfId="139"/>
    <cellStyle name="?鹎%U龡&amp;H齲_x0001_C铣_x0014__x0007__x0001__x0001_ 2 2 5 4 2" xfId="2927"/>
    <cellStyle name="?鹎%U龡&amp;H齲_x0001_C铣_x0014__x0007__x0001__x0001_ 2 2 5 5" xfId="2924"/>
    <cellStyle name="?鹎%U龡&amp;H齲_x0001_C铣_x0014__x0007__x0001__x0001_ 2 2 5_2015财政决算公开" xfId="2928"/>
    <cellStyle name="?鹎%U龡&amp;H齲_x0001_C铣_x0014__x0007__x0001__x0001_ 2 2 6" xfId="141"/>
    <cellStyle name="?鹎%U龡&amp;H齲_x0001_C铣_x0014__x0007__x0001__x0001_ 2 2 6 2" xfId="144"/>
    <cellStyle name="?鹎%U龡&amp;H齲_x0001_C铣_x0014__x0007__x0001__x0001_ 2 2 6 2 2" xfId="2930"/>
    <cellStyle name="?鹎%U龡&amp;H齲_x0001_C铣_x0014__x0007__x0001__x0001_ 2 2 6 3" xfId="146"/>
    <cellStyle name="?鹎%U龡&amp;H齲_x0001_C铣_x0014__x0007__x0001__x0001_ 2 2 6 3 2" xfId="2931"/>
    <cellStyle name="?鹎%U龡&amp;H齲_x0001_C铣_x0014__x0007__x0001__x0001_ 2 2 6 4" xfId="2929"/>
    <cellStyle name="?鹎%U龡&amp;H齲_x0001_C铣_x0014__x0007__x0001__x0001_ 2 2 6_2015财政决算公开" xfId="2932"/>
    <cellStyle name="?鹎%U龡&amp;H齲_x0001_C铣_x0014__x0007__x0001__x0001_ 2 2 7" xfId="151"/>
    <cellStyle name="?鹎%U龡&amp;H齲_x0001_C铣_x0014__x0007__x0001__x0001_ 2 2 7 2" xfId="157"/>
    <cellStyle name="?鹎%U龡&amp;H齲_x0001_C铣_x0014__x0007__x0001__x0001_ 2 2 7 2 2" xfId="2934"/>
    <cellStyle name="?鹎%U龡&amp;H齲_x0001_C铣_x0014__x0007__x0001__x0001_ 2 2 7 3" xfId="160"/>
    <cellStyle name="?鹎%U龡&amp;H齲_x0001_C铣_x0014__x0007__x0001__x0001_ 2 2 7 3 2" xfId="2935"/>
    <cellStyle name="?鹎%U龡&amp;H齲_x0001_C铣_x0014__x0007__x0001__x0001_ 2 2 7 4" xfId="162"/>
    <cellStyle name="?鹎%U龡&amp;H齲_x0001_C铣_x0014__x0007__x0001__x0001_ 2 2 7 4 2" xfId="2936"/>
    <cellStyle name="?鹎%U龡&amp;H齲_x0001_C铣_x0014__x0007__x0001__x0001_ 2 2 7 5" xfId="2933"/>
    <cellStyle name="?鹎%U龡&amp;H齲_x0001_C铣_x0014__x0007__x0001__x0001_ 2 2 7_2015财政决算公开" xfId="2937"/>
    <cellStyle name="?鹎%U龡&amp;H齲_x0001_C铣_x0014__x0007__x0001__x0001_ 2 2 8" xfId="15"/>
    <cellStyle name="?鹎%U龡&amp;H齲_x0001_C铣_x0014__x0007__x0001__x0001_ 2 2 8 2" xfId="2938"/>
    <cellStyle name="?鹎%U龡&amp;H齲_x0001_C铣_x0014__x0007__x0001__x0001_ 2 2 9" xfId="165"/>
    <cellStyle name="?鹎%U龡&amp;H齲_x0001_C铣_x0014__x0007__x0001__x0001_ 2 2 9 2" xfId="2939"/>
    <cellStyle name="?鹎%U龡&amp;H齲_x0001_C铣_x0014__x0007__x0001__x0001_ 2 2_2015财政决算公开" xfId="2940"/>
    <cellStyle name="?鹎%U龡&amp;H齲_x0001_C铣_x0014__x0007__x0001__x0001_ 2 3" xfId="164"/>
    <cellStyle name="?鹎%U龡&amp;H齲_x0001_C铣_x0014__x0007__x0001__x0001_ 2 3 10" xfId="2941"/>
    <cellStyle name="?鹎%U龡&amp;H齲_x0001_C铣_x0014__x0007__x0001__x0001_ 2 3 2" xfId="167"/>
    <cellStyle name="?鹎%U龡&amp;H齲_x0001_C铣_x0014__x0007__x0001__x0001_ 2 3 2 2" xfId="168"/>
    <cellStyle name="?鹎%U龡&amp;H齲_x0001_C铣_x0014__x0007__x0001__x0001_ 2 3 2 2 2" xfId="169"/>
    <cellStyle name="?鹎%U龡&amp;H齲_x0001_C铣_x0014__x0007__x0001__x0001_ 2 3 2 2 2 2" xfId="2944"/>
    <cellStyle name="?鹎%U龡&amp;H齲_x0001_C铣_x0014__x0007__x0001__x0001_ 2 3 2 2 3" xfId="142"/>
    <cellStyle name="?鹎%U龡&amp;H齲_x0001_C铣_x0014__x0007__x0001__x0001_ 2 3 2 2 3 2" xfId="2945"/>
    <cellStyle name="?鹎%U龡&amp;H齲_x0001_C铣_x0014__x0007__x0001__x0001_ 2 3 2 2 4" xfId="145"/>
    <cellStyle name="?鹎%U龡&amp;H齲_x0001_C铣_x0014__x0007__x0001__x0001_ 2 3 2 2 4 2" xfId="2946"/>
    <cellStyle name="?鹎%U龡&amp;H齲_x0001_C铣_x0014__x0007__x0001__x0001_ 2 3 2 2 5" xfId="2943"/>
    <cellStyle name="?鹎%U龡&amp;H齲_x0001_C铣_x0014__x0007__x0001__x0001_ 2 3 2 2_2015财政决算公开" xfId="2947"/>
    <cellStyle name="?鹎%U龡&amp;H齲_x0001_C铣_x0014__x0007__x0001__x0001_ 2 3 2 3" xfId="5"/>
    <cellStyle name="?鹎%U龡&amp;H齲_x0001_C铣_x0014__x0007__x0001__x0001_ 2 3 2 3 2" xfId="171"/>
    <cellStyle name="?鹎%U龡&amp;H齲_x0001_C铣_x0014__x0007__x0001__x0001_ 2 3 2 3 2 2" xfId="2949"/>
    <cellStyle name="?鹎%U龡&amp;H齲_x0001_C铣_x0014__x0007__x0001__x0001_ 2 3 2 3 3" xfId="154"/>
    <cellStyle name="?鹎%U龡&amp;H齲_x0001_C铣_x0014__x0007__x0001__x0001_ 2 3 2 3 3 2" xfId="2950"/>
    <cellStyle name="?鹎%U龡&amp;H齲_x0001_C铣_x0014__x0007__x0001__x0001_ 2 3 2 3 4" xfId="2948"/>
    <cellStyle name="?鹎%U龡&amp;H齲_x0001_C铣_x0014__x0007__x0001__x0001_ 2 3 2 3_2015财政决算公开" xfId="2951"/>
    <cellStyle name="?鹎%U龡&amp;H齲_x0001_C铣_x0014__x0007__x0001__x0001_ 2 3 2 4" xfId="173"/>
    <cellStyle name="?鹎%U龡&amp;H齲_x0001_C铣_x0014__x0007__x0001__x0001_ 2 3 2 4 2" xfId="175"/>
    <cellStyle name="?鹎%U龡&amp;H齲_x0001_C铣_x0014__x0007__x0001__x0001_ 2 3 2 4 2 2" xfId="2953"/>
    <cellStyle name="?鹎%U龡&amp;H齲_x0001_C铣_x0014__x0007__x0001__x0001_ 2 3 2 4 3" xfId="50"/>
    <cellStyle name="?鹎%U龡&amp;H齲_x0001_C铣_x0014__x0007__x0001__x0001_ 2 3 2 4 3 2" xfId="2954"/>
    <cellStyle name="?鹎%U龡&amp;H齲_x0001_C铣_x0014__x0007__x0001__x0001_ 2 3 2 4 4" xfId="91"/>
    <cellStyle name="?鹎%U龡&amp;H齲_x0001_C铣_x0014__x0007__x0001__x0001_ 2 3 2 4 4 2" xfId="2955"/>
    <cellStyle name="?鹎%U龡&amp;H齲_x0001_C铣_x0014__x0007__x0001__x0001_ 2 3 2 4 5" xfId="2952"/>
    <cellStyle name="?鹎%U龡&amp;H齲_x0001_C铣_x0014__x0007__x0001__x0001_ 2 3 2 4_2015财政决算公开" xfId="2956"/>
    <cellStyle name="?鹎%U龡&amp;H齲_x0001_C铣_x0014__x0007__x0001__x0001_ 2 3 2 5" xfId="177"/>
    <cellStyle name="?鹎%U龡&amp;H齲_x0001_C铣_x0014__x0007__x0001__x0001_ 2 3 2 5 2" xfId="2957"/>
    <cellStyle name="?鹎%U龡&amp;H齲_x0001_C铣_x0014__x0007__x0001__x0001_ 2 3 2 6" xfId="178"/>
    <cellStyle name="?鹎%U龡&amp;H齲_x0001_C铣_x0014__x0007__x0001__x0001_ 2 3 2 6 2" xfId="2958"/>
    <cellStyle name="?鹎%U龡&amp;H齲_x0001_C铣_x0014__x0007__x0001__x0001_ 2 3 2 7" xfId="180"/>
    <cellStyle name="?鹎%U龡&amp;H齲_x0001_C铣_x0014__x0007__x0001__x0001_ 2 3 2 7 2" xfId="2959"/>
    <cellStyle name="?鹎%U龡&amp;H齲_x0001_C铣_x0014__x0007__x0001__x0001_ 2 3 2 8" xfId="2942"/>
    <cellStyle name="?鹎%U龡&amp;H齲_x0001_C铣_x0014__x0007__x0001__x0001_ 2 3 2_2015财政决算公开" xfId="2960"/>
    <cellStyle name="?鹎%U龡&amp;H齲_x0001_C铣_x0014__x0007__x0001__x0001_ 2 3 3" xfId="182"/>
    <cellStyle name="?鹎%U龡&amp;H齲_x0001_C铣_x0014__x0007__x0001__x0001_ 2 3 3 2" xfId="183"/>
    <cellStyle name="?鹎%U龡&amp;H齲_x0001_C铣_x0014__x0007__x0001__x0001_ 2 3 3 2 2" xfId="2962"/>
    <cellStyle name="?鹎%U龡&amp;H齲_x0001_C铣_x0014__x0007__x0001__x0001_ 2 3 3 3" xfId="184"/>
    <cellStyle name="?鹎%U龡&amp;H齲_x0001_C铣_x0014__x0007__x0001__x0001_ 2 3 3 3 2" xfId="2963"/>
    <cellStyle name="?鹎%U龡&amp;H齲_x0001_C铣_x0014__x0007__x0001__x0001_ 2 3 3 4" xfId="187"/>
    <cellStyle name="?鹎%U龡&amp;H齲_x0001_C铣_x0014__x0007__x0001__x0001_ 2 3 3 4 2" xfId="2964"/>
    <cellStyle name="?鹎%U龡&amp;H齲_x0001_C铣_x0014__x0007__x0001__x0001_ 2 3 3 5" xfId="2961"/>
    <cellStyle name="?鹎%U龡&amp;H齲_x0001_C铣_x0014__x0007__x0001__x0001_ 2 3 3_2015财政决算公开" xfId="2965"/>
    <cellStyle name="?鹎%U龡&amp;H齲_x0001_C铣_x0014__x0007__x0001__x0001_ 2 3 4" xfId="188"/>
    <cellStyle name="?鹎%U龡&amp;H齲_x0001_C铣_x0014__x0007__x0001__x0001_ 2 3 4 2" xfId="189"/>
    <cellStyle name="?鹎%U龡&amp;H齲_x0001_C铣_x0014__x0007__x0001__x0001_ 2 3 4 2 2" xfId="2967"/>
    <cellStyle name="?鹎%U龡&amp;H齲_x0001_C铣_x0014__x0007__x0001__x0001_ 2 3 4 3" xfId="190"/>
    <cellStyle name="?鹎%U龡&amp;H齲_x0001_C铣_x0014__x0007__x0001__x0001_ 2 3 4 3 2" xfId="2968"/>
    <cellStyle name="?鹎%U龡&amp;H齲_x0001_C铣_x0014__x0007__x0001__x0001_ 2 3 4 4" xfId="192"/>
    <cellStyle name="?鹎%U龡&amp;H齲_x0001_C铣_x0014__x0007__x0001__x0001_ 2 3 4 4 2" xfId="2969"/>
    <cellStyle name="?鹎%U龡&amp;H齲_x0001_C铣_x0014__x0007__x0001__x0001_ 2 3 4 5" xfId="2966"/>
    <cellStyle name="?鹎%U龡&amp;H齲_x0001_C铣_x0014__x0007__x0001__x0001_ 2 3 4_2015财政决算公开" xfId="2970"/>
    <cellStyle name="?鹎%U龡&amp;H齲_x0001_C铣_x0014__x0007__x0001__x0001_ 2 3 5" xfId="195"/>
    <cellStyle name="?鹎%U龡&amp;H齲_x0001_C铣_x0014__x0007__x0001__x0001_ 2 3 5 2" xfId="198"/>
    <cellStyle name="?鹎%U龡&amp;H齲_x0001_C铣_x0014__x0007__x0001__x0001_ 2 3 5 2 2" xfId="2972"/>
    <cellStyle name="?鹎%U龡&amp;H齲_x0001_C铣_x0014__x0007__x0001__x0001_ 2 3 5 3" xfId="200"/>
    <cellStyle name="?鹎%U龡&amp;H齲_x0001_C铣_x0014__x0007__x0001__x0001_ 2 3 5 3 2" xfId="2973"/>
    <cellStyle name="?鹎%U龡&amp;H齲_x0001_C铣_x0014__x0007__x0001__x0001_ 2 3 5 4" xfId="2971"/>
    <cellStyle name="?鹎%U龡&amp;H齲_x0001_C铣_x0014__x0007__x0001__x0001_ 2 3 5_2015财政决算公开" xfId="2974"/>
    <cellStyle name="?鹎%U龡&amp;H齲_x0001_C铣_x0014__x0007__x0001__x0001_ 2 3 6" xfId="202"/>
    <cellStyle name="?鹎%U龡&amp;H齲_x0001_C铣_x0014__x0007__x0001__x0001_ 2 3 6 2" xfId="205"/>
    <cellStyle name="?鹎%U龡&amp;H齲_x0001_C铣_x0014__x0007__x0001__x0001_ 2 3 6 2 2" xfId="2976"/>
    <cellStyle name="?鹎%U龡&amp;H齲_x0001_C铣_x0014__x0007__x0001__x0001_ 2 3 6 3" xfId="207"/>
    <cellStyle name="?鹎%U龡&amp;H齲_x0001_C铣_x0014__x0007__x0001__x0001_ 2 3 6 3 2" xfId="2977"/>
    <cellStyle name="?鹎%U龡&amp;H齲_x0001_C铣_x0014__x0007__x0001__x0001_ 2 3 6 4" xfId="209"/>
    <cellStyle name="?鹎%U龡&amp;H齲_x0001_C铣_x0014__x0007__x0001__x0001_ 2 3 6 4 2" xfId="2978"/>
    <cellStyle name="?鹎%U龡&amp;H齲_x0001_C铣_x0014__x0007__x0001__x0001_ 2 3 6 5" xfId="2975"/>
    <cellStyle name="?鹎%U龡&amp;H齲_x0001_C铣_x0014__x0007__x0001__x0001_ 2 3 6_2015财政决算公开" xfId="2979"/>
    <cellStyle name="?鹎%U龡&amp;H齲_x0001_C铣_x0014__x0007__x0001__x0001_ 2 3 7" xfId="215"/>
    <cellStyle name="?鹎%U龡&amp;H齲_x0001_C铣_x0014__x0007__x0001__x0001_ 2 3 7 2" xfId="2980"/>
    <cellStyle name="?鹎%U龡&amp;H齲_x0001_C铣_x0014__x0007__x0001__x0001_ 2 3 8" xfId="220"/>
    <cellStyle name="?鹎%U龡&amp;H齲_x0001_C铣_x0014__x0007__x0001__x0001_ 2 3 8 2" xfId="2981"/>
    <cellStyle name="?鹎%U龡&amp;H齲_x0001_C铣_x0014__x0007__x0001__x0001_ 2 3 9" xfId="224"/>
    <cellStyle name="?鹎%U龡&amp;H齲_x0001_C铣_x0014__x0007__x0001__x0001_ 2 3 9 2" xfId="2982"/>
    <cellStyle name="?鹎%U龡&amp;H齲_x0001_C铣_x0014__x0007__x0001__x0001_ 2 3_2015财政决算公开" xfId="2983"/>
    <cellStyle name="?鹎%U龡&amp;H齲_x0001_C铣_x0014__x0007__x0001__x0001_ 2 4" xfId="227"/>
    <cellStyle name="?鹎%U龡&amp;H齲_x0001_C铣_x0014__x0007__x0001__x0001_ 2 4 10" xfId="2984"/>
    <cellStyle name="?鹎%U龡&amp;H齲_x0001_C铣_x0014__x0007__x0001__x0001_ 2 4 2" xfId="228"/>
    <cellStyle name="?鹎%U龡&amp;H齲_x0001_C铣_x0014__x0007__x0001__x0001_ 2 4 2 2" xfId="232"/>
    <cellStyle name="?鹎%U龡&amp;H齲_x0001_C铣_x0014__x0007__x0001__x0001_ 2 4 2 2 2" xfId="235"/>
    <cellStyle name="?鹎%U龡&amp;H齲_x0001_C铣_x0014__x0007__x0001__x0001_ 2 4 2 2 2 2" xfId="2987"/>
    <cellStyle name="?鹎%U龡&amp;H齲_x0001_C铣_x0014__x0007__x0001__x0001_ 2 4 2 2 3" xfId="239"/>
    <cellStyle name="?鹎%U龡&amp;H齲_x0001_C铣_x0014__x0007__x0001__x0001_ 2 4 2 2 3 2" xfId="2988"/>
    <cellStyle name="?鹎%U龡&amp;H齲_x0001_C铣_x0014__x0007__x0001__x0001_ 2 4 2 2 4" xfId="244"/>
    <cellStyle name="?鹎%U龡&amp;H齲_x0001_C铣_x0014__x0007__x0001__x0001_ 2 4 2 2 4 2" xfId="2989"/>
    <cellStyle name="?鹎%U龡&amp;H齲_x0001_C铣_x0014__x0007__x0001__x0001_ 2 4 2 2 5" xfId="2986"/>
    <cellStyle name="?鹎%U龡&amp;H齲_x0001_C铣_x0014__x0007__x0001__x0001_ 2 4 2 2_2015财政决算公开" xfId="2990"/>
    <cellStyle name="?鹎%U龡&amp;H齲_x0001_C铣_x0014__x0007__x0001__x0001_ 2 4 2 3" xfId="245"/>
    <cellStyle name="?鹎%U龡&amp;H齲_x0001_C铣_x0014__x0007__x0001__x0001_ 2 4 2 3 2" xfId="32"/>
    <cellStyle name="?鹎%U龡&amp;H齲_x0001_C铣_x0014__x0007__x0001__x0001_ 2 4 2 3 2 2" xfId="2992"/>
    <cellStyle name="?鹎%U龡&amp;H齲_x0001_C铣_x0014__x0007__x0001__x0001_ 2 4 2 3 3" xfId="43"/>
    <cellStyle name="?鹎%U龡&amp;H齲_x0001_C铣_x0014__x0007__x0001__x0001_ 2 4 2 3 3 2" xfId="2993"/>
    <cellStyle name="?鹎%U龡&amp;H齲_x0001_C铣_x0014__x0007__x0001__x0001_ 2 4 2 3 4" xfId="2991"/>
    <cellStyle name="?鹎%U龡&amp;H齲_x0001_C铣_x0014__x0007__x0001__x0001_ 2 4 2 3_2015财政决算公开" xfId="2994"/>
    <cellStyle name="?鹎%U龡&amp;H齲_x0001_C铣_x0014__x0007__x0001__x0001_ 2 4 2 4" xfId="247"/>
    <cellStyle name="?鹎%U龡&amp;H齲_x0001_C铣_x0014__x0007__x0001__x0001_ 2 4 2 4 2" xfId="250"/>
    <cellStyle name="?鹎%U龡&amp;H齲_x0001_C铣_x0014__x0007__x0001__x0001_ 2 4 2 4 2 2" xfId="2996"/>
    <cellStyle name="?鹎%U龡&amp;H齲_x0001_C铣_x0014__x0007__x0001__x0001_ 2 4 2 4 3" xfId="255"/>
    <cellStyle name="?鹎%U龡&amp;H齲_x0001_C铣_x0014__x0007__x0001__x0001_ 2 4 2 4 3 2" xfId="2997"/>
    <cellStyle name="?鹎%U龡&amp;H齲_x0001_C铣_x0014__x0007__x0001__x0001_ 2 4 2 4 4" xfId="261"/>
    <cellStyle name="?鹎%U龡&amp;H齲_x0001_C铣_x0014__x0007__x0001__x0001_ 2 4 2 4 4 2" xfId="2998"/>
    <cellStyle name="?鹎%U龡&amp;H齲_x0001_C铣_x0014__x0007__x0001__x0001_ 2 4 2 4 5" xfId="2995"/>
    <cellStyle name="?鹎%U龡&amp;H齲_x0001_C铣_x0014__x0007__x0001__x0001_ 2 4 2 4_2015财政决算公开" xfId="2999"/>
    <cellStyle name="?鹎%U龡&amp;H齲_x0001_C铣_x0014__x0007__x0001__x0001_ 2 4 2 5" xfId="263"/>
    <cellStyle name="?鹎%U龡&amp;H齲_x0001_C铣_x0014__x0007__x0001__x0001_ 2 4 2 5 2" xfId="3000"/>
    <cellStyle name="?鹎%U龡&amp;H齲_x0001_C铣_x0014__x0007__x0001__x0001_ 2 4 2 6" xfId="265"/>
    <cellStyle name="?鹎%U龡&amp;H齲_x0001_C铣_x0014__x0007__x0001__x0001_ 2 4 2 6 2" xfId="3001"/>
    <cellStyle name="?鹎%U龡&amp;H齲_x0001_C铣_x0014__x0007__x0001__x0001_ 2 4 2 7" xfId="268"/>
    <cellStyle name="?鹎%U龡&amp;H齲_x0001_C铣_x0014__x0007__x0001__x0001_ 2 4 2 7 2" xfId="3002"/>
    <cellStyle name="?鹎%U龡&amp;H齲_x0001_C铣_x0014__x0007__x0001__x0001_ 2 4 2 8" xfId="2985"/>
    <cellStyle name="?鹎%U龡&amp;H齲_x0001_C铣_x0014__x0007__x0001__x0001_ 2 4 2_2015财政决算公开" xfId="3003"/>
    <cellStyle name="?鹎%U龡&amp;H齲_x0001_C铣_x0014__x0007__x0001__x0001_ 2 4 3" xfId="272"/>
    <cellStyle name="?鹎%U龡&amp;H齲_x0001_C铣_x0014__x0007__x0001__x0001_ 2 4 3 2" xfId="274"/>
    <cellStyle name="?鹎%U龡&amp;H齲_x0001_C铣_x0014__x0007__x0001__x0001_ 2 4 3 2 2" xfId="3005"/>
    <cellStyle name="?鹎%U龡&amp;H齲_x0001_C铣_x0014__x0007__x0001__x0001_ 2 4 3 3" xfId="275"/>
    <cellStyle name="?鹎%U龡&amp;H齲_x0001_C铣_x0014__x0007__x0001__x0001_ 2 4 3 3 2" xfId="3006"/>
    <cellStyle name="?鹎%U龡&amp;H齲_x0001_C铣_x0014__x0007__x0001__x0001_ 2 4 3 4" xfId="278"/>
    <cellStyle name="?鹎%U龡&amp;H齲_x0001_C铣_x0014__x0007__x0001__x0001_ 2 4 3 4 2" xfId="3007"/>
    <cellStyle name="?鹎%U龡&amp;H齲_x0001_C铣_x0014__x0007__x0001__x0001_ 2 4 3 5" xfId="3004"/>
    <cellStyle name="?鹎%U龡&amp;H齲_x0001_C铣_x0014__x0007__x0001__x0001_ 2 4 3_2015财政决算公开" xfId="3008"/>
    <cellStyle name="?鹎%U龡&amp;H齲_x0001_C铣_x0014__x0007__x0001__x0001_ 2 4 4" xfId="280"/>
    <cellStyle name="?鹎%U龡&amp;H齲_x0001_C铣_x0014__x0007__x0001__x0001_ 2 4 4 2" xfId="281"/>
    <cellStyle name="?鹎%U龡&amp;H齲_x0001_C铣_x0014__x0007__x0001__x0001_ 2 4 4 2 2" xfId="3010"/>
    <cellStyle name="?鹎%U龡&amp;H齲_x0001_C铣_x0014__x0007__x0001__x0001_ 2 4 4 3" xfId="282"/>
    <cellStyle name="?鹎%U龡&amp;H齲_x0001_C铣_x0014__x0007__x0001__x0001_ 2 4 4 3 2" xfId="3011"/>
    <cellStyle name="?鹎%U龡&amp;H齲_x0001_C铣_x0014__x0007__x0001__x0001_ 2 4 4 4" xfId="283"/>
    <cellStyle name="?鹎%U龡&amp;H齲_x0001_C铣_x0014__x0007__x0001__x0001_ 2 4 4 4 2" xfId="3012"/>
    <cellStyle name="?鹎%U龡&amp;H齲_x0001_C铣_x0014__x0007__x0001__x0001_ 2 4 4 5" xfId="3009"/>
    <cellStyle name="?鹎%U龡&amp;H齲_x0001_C铣_x0014__x0007__x0001__x0001_ 2 4 4_2015财政决算公开" xfId="3013"/>
    <cellStyle name="?鹎%U龡&amp;H齲_x0001_C铣_x0014__x0007__x0001__x0001_ 2 4 5" xfId="285"/>
    <cellStyle name="?鹎%U龡&amp;H齲_x0001_C铣_x0014__x0007__x0001__x0001_ 2 4 5 2" xfId="287"/>
    <cellStyle name="?鹎%U龡&amp;H齲_x0001_C铣_x0014__x0007__x0001__x0001_ 2 4 5 2 2" xfId="3015"/>
    <cellStyle name="?鹎%U龡&amp;H齲_x0001_C铣_x0014__x0007__x0001__x0001_ 2 4 5 3" xfId="289"/>
    <cellStyle name="?鹎%U龡&amp;H齲_x0001_C铣_x0014__x0007__x0001__x0001_ 2 4 5 3 2" xfId="3016"/>
    <cellStyle name="?鹎%U龡&amp;H齲_x0001_C铣_x0014__x0007__x0001__x0001_ 2 4 5 4" xfId="3014"/>
    <cellStyle name="?鹎%U龡&amp;H齲_x0001_C铣_x0014__x0007__x0001__x0001_ 2 4 5_2015财政决算公开" xfId="3017"/>
    <cellStyle name="?鹎%U龡&amp;H齲_x0001_C铣_x0014__x0007__x0001__x0001_ 2 4 6" xfId="291"/>
    <cellStyle name="?鹎%U龡&amp;H齲_x0001_C铣_x0014__x0007__x0001__x0001_ 2 4 6 2" xfId="294"/>
    <cellStyle name="?鹎%U龡&amp;H齲_x0001_C铣_x0014__x0007__x0001__x0001_ 2 4 6 2 2" xfId="3019"/>
    <cellStyle name="?鹎%U龡&amp;H齲_x0001_C铣_x0014__x0007__x0001__x0001_ 2 4 6 3" xfId="296"/>
    <cellStyle name="?鹎%U龡&amp;H齲_x0001_C铣_x0014__x0007__x0001__x0001_ 2 4 6 3 2" xfId="3020"/>
    <cellStyle name="?鹎%U龡&amp;H齲_x0001_C铣_x0014__x0007__x0001__x0001_ 2 4 6 4" xfId="297"/>
    <cellStyle name="?鹎%U龡&amp;H齲_x0001_C铣_x0014__x0007__x0001__x0001_ 2 4 6 4 2" xfId="3021"/>
    <cellStyle name="?鹎%U龡&amp;H齲_x0001_C铣_x0014__x0007__x0001__x0001_ 2 4 6 5" xfId="3018"/>
    <cellStyle name="?鹎%U龡&amp;H齲_x0001_C铣_x0014__x0007__x0001__x0001_ 2 4 6_2015财政决算公开" xfId="3022"/>
    <cellStyle name="?鹎%U龡&amp;H齲_x0001_C铣_x0014__x0007__x0001__x0001_ 2 4 7" xfId="300"/>
    <cellStyle name="?鹎%U龡&amp;H齲_x0001_C铣_x0014__x0007__x0001__x0001_ 2 4 7 2" xfId="3023"/>
    <cellStyle name="?鹎%U龡&amp;H齲_x0001_C铣_x0014__x0007__x0001__x0001_ 2 4 8" xfId="304"/>
    <cellStyle name="?鹎%U龡&amp;H齲_x0001_C铣_x0014__x0007__x0001__x0001_ 2 4 8 2" xfId="3024"/>
    <cellStyle name="?鹎%U龡&amp;H齲_x0001_C铣_x0014__x0007__x0001__x0001_ 2 4 9" xfId="306"/>
    <cellStyle name="?鹎%U龡&amp;H齲_x0001_C铣_x0014__x0007__x0001__x0001_ 2 4 9 2" xfId="3025"/>
    <cellStyle name="?鹎%U龡&amp;H齲_x0001_C铣_x0014__x0007__x0001__x0001_ 2 4_2015财政决算公开" xfId="3026"/>
    <cellStyle name="?鹎%U龡&amp;H齲_x0001_C铣_x0014__x0007__x0001__x0001_ 2 5" xfId="307"/>
    <cellStyle name="?鹎%U龡&amp;H齲_x0001_C铣_x0014__x0007__x0001__x0001_ 2 5 2" xfId="308"/>
    <cellStyle name="?鹎%U龡&amp;H齲_x0001_C铣_x0014__x0007__x0001__x0001_ 2 5 2 2" xfId="3028"/>
    <cellStyle name="?鹎%U龡&amp;H齲_x0001_C铣_x0014__x0007__x0001__x0001_ 2 5 3" xfId="231"/>
    <cellStyle name="?鹎%U龡&amp;H齲_x0001_C铣_x0014__x0007__x0001__x0001_ 2 5 3 2" xfId="3029"/>
    <cellStyle name="?鹎%U龡&amp;H齲_x0001_C铣_x0014__x0007__x0001__x0001_ 2 5 4" xfId="3027"/>
    <cellStyle name="?鹎%U龡&amp;H齲_x0001_C铣_x0014__x0007__x0001__x0001_ 2 5_2015财政决算公开" xfId="3030"/>
    <cellStyle name="?鹎%U龡&amp;H齲_x0001_C铣_x0014__x0007__x0001__x0001_ 2 6" xfId="309"/>
    <cellStyle name="?鹎%U龡&amp;H齲_x0001_C铣_x0014__x0007__x0001__x0001_ 2 6 2" xfId="3031"/>
    <cellStyle name="?鹎%U龡&amp;H齲_x0001_C铣_x0014__x0007__x0001__x0001_ 2 7" xfId="313"/>
    <cellStyle name="?鹎%U龡&amp;H齲_x0001_C铣_x0014__x0007__x0001__x0001_ 2 7 2" xfId="3032"/>
    <cellStyle name="?鹎%U龡&amp;H齲_x0001_C铣_x0014__x0007__x0001__x0001_ 2 8" xfId="2853"/>
    <cellStyle name="?鹎%U龡&amp;H齲_x0001_C铣_x0014__x0007__x0001__x0001_ 2 9" xfId="4997"/>
    <cellStyle name="?鹎%U龡&amp;H齲_x0001_C铣_x0014__x0007__x0001__x0001_ 3" xfId="316"/>
    <cellStyle name="?鹎%U龡&amp;H齲_x0001_C铣_x0014__x0007__x0001__x0001_ 3 10" xfId="3033"/>
    <cellStyle name="?鹎%U龡&amp;H齲_x0001_C铣_x0014__x0007__x0001__x0001_ 3 11" xfId="4998"/>
    <cellStyle name="?鹎%U龡&amp;H齲_x0001_C铣_x0014__x0007__x0001__x0001_ 3 11 2" xfId="4999"/>
    <cellStyle name="?鹎%U龡&amp;H齲_x0001_C铣_x0014__x0007__x0001__x0001_ 3 2" xfId="217"/>
    <cellStyle name="?鹎%U龡&amp;H齲_x0001_C铣_x0014__x0007__x0001__x0001_ 3 2 10" xfId="318"/>
    <cellStyle name="?鹎%U龡&amp;H齲_x0001_C铣_x0014__x0007__x0001__x0001_ 3 2 10 2" xfId="3035"/>
    <cellStyle name="?鹎%U龡&amp;H齲_x0001_C铣_x0014__x0007__x0001__x0001_ 3 2 11" xfId="3034"/>
    <cellStyle name="?鹎%U龡&amp;H齲_x0001_C铣_x0014__x0007__x0001__x0001_ 3 2 2" xfId="320"/>
    <cellStyle name="?鹎%U龡&amp;H齲_x0001_C铣_x0014__x0007__x0001__x0001_ 3 2 2 10" xfId="3036"/>
    <cellStyle name="?鹎%U龡&amp;H齲_x0001_C铣_x0014__x0007__x0001__x0001_ 3 2 2 2" xfId="322"/>
    <cellStyle name="?鹎%U龡&amp;H齲_x0001_C铣_x0014__x0007__x0001__x0001_ 3 2 2 2 2" xfId="324"/>
    <cellStyle name="?鹎%U龡&amp;H齲_x0001_C铣_x0014__x0007__x0001__x0001_ 3 2 2 2 2 2" xfId="99"/>
    <cellStyle name="?鹎%U龡&amp;H齲_x0001_C铣_x0014__x0007__x0001__x0001_ 3 2 2 2 2 2 2" xfId="3039"/>
    <cellStyle name="?鹎%U龡&amp;H齲_x0001_C铣_x0014__x0007__x0001__x0001_ 3 2 2 2 2 3" xfId="23"/>
    <cellStyle name="?鹎%U龡&amp;H齲_x0001_C铣_x0014__x0007__x0001__x0001_ 3 2 2 2 2 3 2" xfId="3040"/>
    <cellStyle name="?鹎%U龡&amp;H齲_x0001_C铣_x0014__x0007__x0001__x0001_ 3 2 2 2 2 4" xfId="328"/>
    <cellStyle name="?鹎%U龡&amp;H齲_x0001_C铣_x0014__x0007__x0001__x0001_ 3 2 2 2 2 4 2" xfId="3041"/>
    <cellStyle name="?鹎%U龡&amp;H齲_x0001_C铣_x0014__x0007__x0001__x0001_ 3 2 2 2 2 5" xfId="3038"/>
    <cellStyle name="?鹎%U龡&amp;H齲_x0001_C铣_x0014__x0007__x0001__x0001_ 3 2 2 2 2_2015财政决算公开" xfId="3042"/>
    <cellStyle name="?鹎%U龡&amp;H齲_x0001_C铣_x0014__x0007__x0001__x0001_ 3 2 2 2 3" xfId="330"/>
    <cellStyle name="?鹎%U龡&amp;H齲_x0001_C铣_x0014__x0007__x0001__x0001_ 3 2 2 2 3 2" xfId="333"/>
    <cellStyle name="?鹎%U龡&amp;H齲_x0001_C铣_x0014__x0007__x0001__x0001_ 3 2 2 2 3 2 2" xfId="3044"/>
    <cellStyle name="?鹎%U龡&amp;H齲_x0001_C铣_x0014__x0007__x0001__x0001_ 3 2 2 2 3 3" xfId="335"/>
    <cellStyle name="?鹎%U龡&amp;H齲_x0001_C铣_x0014__x0007__x0001__x0001_ 3 2 2 2 3 3 2" xfId="3045"/>
    <cellStyle name="?鹎%U龡&amp;H齲_x0001_C铣_x0014__x0007__x0001__x0001_ 3 2 2 2 3 4" xfId="3043"/>
    <cellStyle name="?鹎%U龡&amp;H齲_x0001_C铣_x0014__x0007__x0001__x0001_ 3 2 2 2 3_2015财政决算公开" xfId="3046"/>
    <cellStyle name="?鹎%U龡&amp;H齲_x0001_C铣_x0014__x0007__x0001__x0001_ 3 2 2 2 4" xfId="79"/>
    <cellStyle name="?鹎%U龡&amp;H齲_x0001_C铣_x0014__x0007__x0001__x0001_ 3 2 2 2 4 2" xfId="337"/>
    <cellStyle name="?鹎%U龡&amp;H齲_x0001_C铣_x0014__x0007__x0001__x0001_ 3 2 2 2 4 2 2" xfId="3048"/>
    <cellStyle name="?鹎%U龡&amp;H齲_x0001_C铣_x0014__x0007__x0001__x0001_ 3 2 2 2 4 3" xfId="339"/>
    <cellStyle name="?鹎%U龡&amp;H齲_x0001_C铣_x0014__x0007__x0001__x0001_ 3 2 2 2 4 3 2" xfId="3049"/>
    <cellStyle name="?鹎%U龡&amp;H齲_x0001_C铣_x0014__x0007__x0001__x0001_ 3 2 2 2 4 4" xfId="341"/>
    <cellStyle name="?鹎%U龡&amp;H齲_x0001_C铣_x0014__x0007__x0001__x0001_ 3 2 2 2 4 4 2" xfId="3050"/>
    <cellStyle name="?鹎%U龡&amp;H齲_x0001_C铣_x0014__x0007__x0001__x0001_ 3 2 2 2 4 5" xfId="3047"/>
    <cellStyle name="?鹎%U龡&amp;H齲_x0001_C铣_x0014__x0007__x0001__x0001_ 3 2 2 2 4_2015财政决算公开" xfId="3051"/>
    <cellStyle name="?鹎%U龡&amp;H齲_x0001_C铣_x0014__x0007__x0001__x0001_ 3 2 2 2 5" xfId="87"/>
    <cellStyle name="?鹎%U龡&amp;H齲_x0001_C铣_x0014__x0007__x0001__x0001_ 3 2 2 2 5 2" xfId="3052"/>
    <cellStyle name="?鹎%U龡&amp;H齲_x0001_C铣_x0014__x0007__x0001__x0001_ 3 2 2 2 6" xfId="344"/>
    <cellStyle name="?鹎%U龡&amp;H齲_x0001_C铣_x0014__x0007__x0001__x0001_ 3 2 2 2 6 2" xfId="3053"/>
    <cellStyle name="?鹎%U龡&amp;H齲_x0001_C铣_x0014__x0007__x0001__x0001_ 3 2 2 2 7" xfId="346"/>
    <cellStyle name="?鹎%U龡&amp;H齲_x0001_C铣_x0014__x0007__x0001__x0001_ 3 2 2 2 7 2" xfId="3054"/>
    <cellStyle name="?鹎%U龡&amp;H齲_x0001_C铣_x0014__x0007__x0001__x0001_ 3 2 2 2 8" xfId="3037"/>
    <cellStyle name="?鹎%U龡&amp;H齲_x0001_C铣_x0014__x0007__x0001__x0001_ 3 2 2 2_2015财政决算公开" xfId="3055"/>
    <cellStyle name="?鹎%U龡&amp;H齲_x0001_C铣_x0014__x0007__x0001__x0001_ 3 2 2 3" xfId="350"/>
    <cellStyle name="?鹎%U龡&amp;H齲_x0001_C铣_x0014__x0007__x0001__x0001_ 3 2 2 3 2" xfId="353"/>
    <cellStyle name="?鹎%U龡&amp;H齲_x0001_C铣_x0014__x0007__x0001__x0001_ 3 2 2 3 2 2" xfId="3057"/>
    <cellStyle name="?鹎%U龡&amp;H齲_x0001_C铣_x0014__x0007__x0001__x0001_ 3 2 2 3 3" xfId="355"/>
    <cellStyle name="?鹎%U龡&amp;H齲_x0001_C铣_x0014__x0007__x0001__x0001_ 3 2 2 3 3 2" xfId="3058"/>
    <cellStyle name="?鹎%U龡&amp;H齲_x0001_C铣_x0014__x0007__x0001__x0001_ 3 2 2 3 4" xfId="46"/>
    <cellStyle name="?鹎%U龡&amp;H齲_x0001_C铣_x0014__x0007__x0001__x0001_ 3 2 2 3 4 2" xfId="3059"/>
    <cellStyle name="?鹎%U龡&amp;H齲_x0001_C铣_x0014__x0007__x0001__x0001_ 3 2 2 3 5" xfId="3056"/>
    <cellStyle name="?鹎%U龡&amp;H齲_x0001_C铣_x0014__x0007__x0001__x0001_ 3 2 2 3_2015财政决算公开" xfId="3060"/>
    <cellStyle name="?鹎%U龡&amp;H齲_x0001_C铣_x0014__x0007__x0001__x0001_ 3 2 2 4" xfId="358"/>
    <cellStyle name="?鹎%U龡&amp;H齲_x0001_C铣_x0014__x0007__x0001__x0001_ 3 2 2 4 2" xfId="236"/>
    <cellStyle name="?鹎%U龡&amp;H齲_x0001_C铣_x0014__x0007__x0001__x0001_ 3 2 2 4 2 2" xfId="3062"/>
    <cellStyle name="?鹎%U龡&amp;H齲_x0001_C铣_x0014__x0007__x0001__x0001_ 3 2 2 4 3" xfId="241"/>
    <cellStyle name="?鹎%U龡&amp;H齲_x0001_C铣_x0014__x0007__x0001__x0001_ 3 2 2 4 3 2" xfId="3063"/>
    <cellStyle name="?鹎%U龡&amp;H齲_x0001_C铣_x0014__x0007__x0001__x0001_ 3 2 2 4 4" xfId="359"/>
    <cellStyle name="?鹎%U龡&amp;H齲_x0001_C铣_x0014__x0007__x0001__x0001_ 3 2 2 4 4 2" xfId="3064"/>
    <cellStyle name="?鹎%U龡&amp;H齲_x0001_C铣_x0014__x0007__x0001__x0001_ 3 2 2 4 5" xfId="3061"/>
    <cellStyle name="?鹎%U龡&amp;H齲_x0001_C铣_x0014__x0007__x0001__x0001_ 3 2 2 4_2015财政决算公开" xfId="3065"/>
    <cellStyle name="?鹎%U龡&amp;H齲_x0001_C铣_x0014__x0007__x0001__x0001_ 3 2 2 5" xfId="363"/>
    <cellStyle name="?鹎%U龡&amp;H齲_x0001_C铣_x0014__x0007__x0001__x0001_ 3 2 2 5 2" xfId="39"/>
    <cellStyle name="?鹎%U龡&amp;H齲_x0001_C铣_x0014__x0007__x0001__x0001_ 3 2 2 5 2 2" xfId="3067"/>
    <cellStyle name="?鹎%U龡&amp;H齲_x0001_C铣_x0014__x0007__x0001__x0001_ 3 2 2 5 3" xfId="365"/>
    <cellStyle name="?鹎%U龡&amp;H齲_x0001_C铣_x0014__x0007__x0001__x0001_ 3 2 2 5 3 2" xfId="3068"/>
    <cellStyle name="?鹎%U龡&amp;H齲_x0001_C铣_x0014__x0007__x0001__x0001_ 3 2 2 5 4" xfId="3066"/>
    <cellStyle name="?鹎%U龡&amp;H齲_x0001_C铣_x0014__x0007__x0001__x0001_ 3 2 2 5_2015财政决算公开" xfId="3069"/>
    <cellStyle name="?鹎%U龡&amp;H齲_x0001_C铣_x0014__x0007__x0001__x0001_ 3 2 2 6" xfId="371"/>
    <cellStyle name="?鹎%U龡&amp;H齲_x0001_C铣_x0014__x0007__x0001__x0001_ 3 2 2 6 2" xfId="251"/>
    <cellStyle name="?鹎%U龡&amp;H齲_x0001_C铣_x0014__x0007__x0001__x0001_ 3 2 2 6 2 2" xfId="3071"/>
    <cellStyle name="?鹎%U龡&amp;H齲_x0001_C铣_x0014__x0007__x0001__x0001_ 3 2 2 6 3" xfId="257"/>
    <cellStyle name="?鹎%U龡&amp;H齲_x0001_C铣_x0014__x0007__x0001__x0001_ 3 2 2 6 3 2" xfId="3072"/>
    <cellStyle name="?鹎%U龡&amp;H齲_x0001_C铣_x0014__x0007__x0001__x0001_ 3 2 2 6 4" xfId="372"/>
    <cellStyle name="?鹎%U龡&amp;H齲_x0001_C铣_x0014__x0007__x0001__x0001_ 3 2 2 6 4 2" xfId="3073"/>
    <cellStyle name="?鹎%U龡&amp;H齲_x0001_C铣_x0014__x0007__x0001__x0001_ 3 2 2 6 5" xfId="3070"/>
    <cellStyle name="?鹎%U龡&amp;H齲_x0001_C铣_x0014__x0007__x0001__x0001_ 3 2 2 6_2015财政决算公开" xfId="3074"/>
    <cellStyle name="?鹎%U龡&amp;H齲_x0001_C铣_x0014__x0007__x0001__x0001_ 3 2 2 7" xfId="375"/>
    <cellStyle name="?鹎%U龡&amp;H齲_x0001_C铣_x0014__x0007__x0001__x0001_ 3 2 2 7 2" xfId="3075"/>
    <cellStyle name="?鹎%U龡&amp;H齲_x0001_C铣_x0014__x0007__x0001__x0001_ 3 2 2 8" xfId="379"/>
    <cellStyle name="?鹎%U龡&amp;H齲_x0001_C铣_x0014__x0007__x0001__x0001_ 3 2 2 8 2" xfId="3076"/>
    <cellStyle name="?鹎%U龡&amp;H齲_x0001_C铣_x0014__x0007__x0001__x0001_ 3 2 2 9" xfId="381"/>
    <cellStyle name="?鹎%U龡&amp;H齲_x0001_C铣_x0014__x0007__x0001__x0001_ 3 2 2 9 2" xfId="3077"/>
    <cellStyle name="?鹎%U龡&amp;H齲_x0001_C铣_x0014__x0007__x0001__x0001_ 3 2 2_2015财政决算公开" xfId="3078"/>
    <cellStyle name="?鹎%U龡&amp;H齲_x0001_C铣_x0014__x0007__x0001__x0001_ 3 2 3" xfId="382"/>
    <cellStyle name="?鹎%U龡&amp;H齲_x0001_C铣_x0014__x0007__x0001__x0001_ 3 2 3 2" xfId="384"/>
    <cellStyle name="?鹎%U龡&amp;H齲_x0001_C铣_x0014__x0007__x0001__x0001_ 3 2 3 2 2" xfId="385"/>
    <cellStyle name="?鹎%U龡&amp;H齲_x0001_C铣_x0014__x0007__x0001__x0001_ 3 2 3 2 2 2" xfId="3081"/>
    <cellStyle name="?鹎%U龡&amp;H齲_x0001_C铣_x0014__x0007__x0001__x0001_ 3 2 3 2 3" xfId="389"/>
    <cellStyle name="?鹎%U龡&amp;H齲_x0001_C铣_x0014__x0007__x0001__x0001_ 3 2 3 2 3 2" xfId="3082"/>
    <cellStyle name="?鹎%U龡&amp;H齲_x0001_C铣_x0014__x0007__x0001__x0001_ 3 2 3 2 4" xfId="392"/>
    <cellStyle name="?鹎%U龡&amp;H齲_x0001_C铣_x0014__x0007__x0001__x0001_ 3 2 3 2 4 2" xfId="3083"/>
    <cellStyle name="?鹎%U龡&amp;H齲_x0001_C铣_x0014__x0007__x0001__x0001_ 3 2 3 2 5" xfId="3080"/>
    <cellStyle name="?鹎%U龡&amp;H齲_x0001_C铣_x0014__x0007__x0001__x0001_ 3 2 3 2_2015财政决算公开" xfId="3084"/>
    <cellStyle name="?鹎%U龡&amp;H齲_x0001_C铣_x0014__x0007__x0001__x0001_ 3 2 3 3" xfId="397"/>
    <cellStyle name="?鹎%U龡&amp;H齲_x0001_C铣_x0014__x0007__x0001__x0001_ 3 2 3 3 2" xfId="399"/>
    <cellStyle name="?鹎%U龡&amp;H齲_x0001_C铣_x0014__x0007__x0001__x0001_ 3 2 3 3 2 2" xfId="3086"/>
    <cellStyle name="?鹎%U龡&amp;H齲_x0001_C铣_x0014__x0007__x0001__x0001_ 3 2 3 3 3" xfId="401"/>
    <cellStyle name="?鹎%U龡&amp;H齲_x0001_C铣_x0014__x0007__x0001__x0001_ 3 2 3 3 3 2" xfId="3087"/>
    <cellStyle name="?鹎%U龡&amp;H齲_x0001_C铣_x0014__x0007__x0001__x0001_ 3 2 3 3 4" xfId="3085"/>
    <cellStyle name="?鹎%U龡&amp;H齲_x0001_C铣_x0014__x0007__x0001__x0001_ 3 2 3 3_2015财政决算公开" xfId="3088"/>
    <cellStyle name="?鹎%U龡&amp;H齲_x0001_C铣_x0014__x0007__x0001__x0001_ 3 2 3 4" xfId="59"/>
    <cellStyle name="?鹎%U龡&amp;H齲_x0001_C铣_x0014__x0007__x0001__x0001_ 3 2 3 4 2" xfId="403"/>
    <cellStyle name="?鹎%U龡&amp;H齲_x0001_C铣_x0014__x0007__x0001__x0001_ 3 2 3 4 2 2" xfId="3090"/>
    <cellStyle name="?鹎%U龡&amp;H齲_x0001_C铣_x0014__x0007__x0001__x0001_ 3 2 3 4 3" xfId="409"/>
    <cellStyle name="?鹎%U龡&amp;H齲_x0001_C铣_x0014__x0007__x0001__x0001_ 3 2 3 4 3 2" xfId="3091"/>
    <cellStyle name="?鹎%U龡&amp;H齲_x0001_C铣_x0014__x0007__x0001__x0001_ 3 2 3 4 4" xfId="412"/>
    <cellStyle name="?鹎%U龡&amp;H齲_x0001_C铣_x0014__x0007__x0001__x0001_ 3 2 3 4 4 2" xfId="3092"/>
    <cellStyle name="?鹎%U龡&amp;H齲_x0001_C铣_x0014__x0007__x0001__x0001_ 3 2 3 4 5" xfId="3089"/>
    <cellStyle name="?鹎%U龡&amp;H齲_x0001_C铣_x0014__x0007__x0001__x0001_ 3 2 3 4_2015财政决算公开" xfId="3093"/>
    <cellStyle name="?鹎%U龡&amp;H齲_x0001_C铣_x0014__x0007__x0001__x0001_ 3 2 3 5" xfId="66"/>
    <cellStyle name="?鹎%U龡&amp;H齲_x0001_C铣_x0014__x0007__x0001__x0001_ 3 2 3 5 2" xfId="3094"/>
    <cellStyle name="?鹎%U龡&amp;H齲_x0001_C铣_x0014__x0007__x0001__x0001_ 3 2 3 6" xfId="71"/>
    <cellStyle name="?鹎%U龡&amp;H齲_x0001_C铣_x0014__x0007__x0001__x0001_ 3 2 3 6 2" xfId="3095"/>
    <cellStyle name="?鹎%U龡&amp;H齲_x0001_C铣_x0014__x0007__x0001__x0001_ 3 2 3 7" xfId="415"/>
    <cellStyle name="?鹎%U龡&amp;H齲_x0001_C铣_x0014__x0007__x0001__x0001_ 3 2 3 7 2" xfId="3096"/>
    <cellStyle name="?鹎%U龡&amp;H齲_x0001_C铣_x0014__x0007__x0001__x0001_ 3 2 3 8" xfId="3079"/>
    <cellStyle name="?鹎%U龡&amp;H齲_x0001_C铣_x0014__x0007__x0001__x0001_ 3 2 3_2015财政决算公开" xfId="3097"/>
    <cellStyle name="?鹎%U龡&amp;H齲_x0001_C铣_x0014__x0007__x0001__x0001_ 3 2 4" xfId="321"/>
    <cellStyle name="?鹎%U龡&amp;H齲_x0001_C铣_x0014__x0007__x0001__x0001_ 3 2 4 2" xfId="327"/>
    <cellStyle name="?鹎%U龡&amp;H齲_x0001_C铣_x0014__x0007__x0001__x0001_ 3 2 4 2 2" xfId="3099"/>
    <cellStyle name="?鹎%U龡&amp;H齲_x0001_C铣_x0014__x0007__x0001__x0001_ 3 2 4 3" xfId="332"/>
    <cellStyle name="?鹎%U龡&amp;H齲_x0001_C铣_x0014__x0007__x0001__x0001_ 3 2 4 3 2" xfId="3100"/>
    <cellStyle name="?鹎%U龡&amp;H齲_x0001_C铣_x0014__x0007__x0001__x0001_ 3 2 4 4" xfId="81"/>
    <cellStyle name="?鹎%U龡&amp;H齲_x0001_C铣_x0014__x0007__x0001__x0001_ 3 2 4 4 2" xfId="3101"/>
    <cellStyle name="?鹎%U龡&amp;H齲_x0001_C铣_x0014__x0007__x0001__x0001_ 3 2 4 5" xfId="3098"/>
    <cellStyle name="?鹎%U龡&amp;H齲_x0001_C铣_x0014__x0007__x0001__x0001_ 3 2 4_2015财政决算公开" xfId="3102"/>
    <cellStyle name="?鹎%U龡&amp;H齲_x0001_C铣_x0014__x0007__x0001__x0001_ 3 2 5" xfId="349"/>
    <cellStyle name="?鹎%U龡&amp;H齲_x0001_C铣_x0014__x0007__x0001__x0001_ 3 2 5 2" xfId="352"/>
    <cellStyle name="?鹎%U龡&amp;H齲_x0001_C铣_x0014__x0007__x0001__x0001_ 3 2 5 2 2" xfId="3104"/>
    <cellStyle name="?鹎%U龡&amp;H齲_x0001_C铣_x0014__x0007__x0001__x0001_ 3 2 5 3" xfId="354"/>
    <cellStyle name="?鹎%U龡&amp;H齲_x0001_C铣_x0014__x0007__x0001__x0001_ 3 2 5 3 2" xfId="3105"/>
    <cellStyle name="?鹎%U龡&amp;H齲_x0001_C铣_x0014__x0007__x0001__x0001_ 3 2 5 4" xfId="45"/>
    <cellStyle name="?鹎%U龡&amp;H齲_x0001_C铣_x0014__x0007__x0001__x0001_ 3 2 5 4 2" xfId="3106"/>
    <cellStyle name="?鹎%U龡&amp;H齲_x0001_C铣_x0014__x0007__x0001__x0001_ 3 2 5 5" xfId="3103"/>
    <cellStyle name="?鹎%U龡&amp;H齲_x0001_C铣_x0014__x0007__x0001__x0001_ 3 2 5_2015财政决算公开" xfId="3107"/>
    <cellStyle name="?鹎%U龡&amp;H齲_x0001_C铣_x0014__x0007__x0001__x0001_ 3 2 6" xfId="357"/>
    <cellStyle name="?鹎%U龡&amp;H齲_x0001_C铣_x0014__x0007__x0001__x0001_ 3 2 6 2" xfId="238"/>
    <cellStyle name="?鹎%U龡&amp;H齲_x0001_C铣_x0014__x0007__x0001__x0001_ 3 2 6 2 2" xfId="3109"/>
    <cellStyle name="?鹎%U龡&amp;H齲_x0001_C铣_x0014__x0007__x0001__x0001_ 3 2 6 3" xfId="243"/>
    <cellStyle name="?鹎%U龡&amp;H齲_x0001_C铣_x0014__x0007__x0001__x0001_ 3 2 6 3 2" xfId="3110"/>
    <cellStyle name="?鹎%U龡&amp;H齲_x0001_C铣_x0014__x0007__x0001__x0001_ 3 2 6 4" xfId="3108"/>
    <cellStyle name="?鹎%U龡&amp;H齲_x0001_C铣_x0014__x0007__x0001__x0001_ 3 2 6_2015财政决算公开" xfId="3111"/>
    <cellStyle name="?鹎%U龡&amp;H齲_x0001_C铣_x0014__x0007__x0001__x0001_ 3 2 7" xfId="362"/>
    <cellStyle name="?鹎%U龡&amp;H齲_x0001_C铣_x0014__x0007__x0001__x0001_ 3 2 7 2" xfId="42"/>
    <cellStyle name="?鹎%U龡&amp;H齲_x0001_C铣_x0014__x0007__x0001__x0001_ 3 2 7 2 2" xfId="3113"/>
    <cellStyle name="?鹎%U龡&amp;H齲_x0001_C铣_x0014__x0007__x0001__x0001_ 3 2 7 3" xfId="368"/>
    <cellStyle name="?鹎%U龡&amp;H齲_x0001_C铣_x0014__x0007__x0001__x0001_ 3 2 7 3 2" xfId="3114"/>
    <cellStyle name="?鹎%U龡&amp;H齲_x0001_C铣_x0014__x0007__x0001__x0001_ 3 2 7 4" xfId="416"/>
    <cellStyle name="?鹎%U龡&amp;H齲_x0001_C铣_x0014__x0007__x0001__x0001_ 3 2 7 4 2" xfId="3115"/>
    <cellStyle name="?鹎%U龡&amp;H齲_x0001_C铣_x0014__x0007__x0001__x0001_ 3 2 7 5" xfId="3112"/>
    <cellStyle name="?鹎%U龡&amp;H齲_x0001_C铣_x0014__x0007__x0001__x0001_ 3 2 7_2015财政决算公开" xfId="3116"/>
    <cellStyle name="?鹎%U龡&amp;H齲_x0001_C铣_x0014__x0007__x0001__x0001_ 3 2 8" xfId="370"/>
    <cellStyle name="?鹎%U龡&amp;H齲_x0001_C铣_x0014__x0007__x0001__x0001_ 3 2 8 2" xfId="3117"/>
    <cellStyle name="?鹎%U龡&amp;H齲_x0001_C铣_x0014__x0007__x0001__x0001_ 3 2 9" xfId="374"/>
    <cellStyle name="?鹎%U龡&amp;H齲_x0001_C铣_x0014__x0007__x0001__x0001_ 3 2 9 2" xfId="3118"/>
    <cellStyle name="?鹎%U龡&amp;H齲_x0001_C铣_x0014__x0007__x0001__x0001_ 3 2_2015财政决算公开" xfId="3119"/>
    <cellStyle name="?鹎%U龡&amp;H齲_x0001_C铣_x0014__x0007__x0001__x0001_ 3 3" xfId="222"/>
    <cellStyle name="?鹎%U龡&amp;H齲_x0001_C铣_x0014__x0007__x0001__x0001_ 3 3 10" xfId="3120"/>
    <cellStyle name="?鹎%U龡&amp;H齲_x0001_C铣_x0014__x0007__x0001__x0001_ 3 3 2" xfId="417"/>
    <cellStyle name="?鹎%U龡&amp;H齲_x0001_C铣_x0014__x0007__x0001__x0001_ 3 3 2 2" xfId="421"/>
    <cellStyle name="?鹎%U龡&amp;H齲_x0001_C铣_x0014__x0007__x0001__x0001_ 3 3 2 2 2" xfId="424"/>
    <cellStyle name="?鹎%U龡&amp;H齲_x0001_C铣_x0014__x0007__x0001__x0001_ 3 3 2 2 2 2" xfId="3123"/>
    <cellStyle name="?鹎%U龡&amp;H齲_x0001_C铣_x0014__x0007__x0001__x0001_ 3 3 2 2 3" xfId="426"/>
    <cellStyle name="?鹎%U龡&amp;H齲_x0001_C铣_x0014__x0007__x0001__x0001_ 3 3 2 2 3 2" xfId="3124"/>
    <cellStyle name="?鹎%U龡&amp;H齲_x0001_C铣_x0014__x0007__x0001__x0001_ 3 3 2 2 4" xfId="428"/>
    <cellStyle name="?鹎%U龡&amp;H齲_x0001_C铣_x0014__x0007__x0001__x0001_ 3 3 2 2 4 2" xfId="3125"/>
    <cellStyle name="?鹎%U龡&amp;H齲_x0001_C铣_x0014__x0007__x0001__x0001_ 3 3 2 2 5" xfId="3122"/>
    <cellStyle name="?鹎%U龡&amp;H齲_x0001_C铣_x0014__x0007__x0001__x0001_ 3 3 2 2_2015财政决算公开" xfId="3126"/>
    <cellStyle name="?鹎%U龡&amp;H齲_x0001_C铣_x0014__x0007__x0001__x0001_ 3 3 2 3" xfId="432"/>
    <cellStyle name="?鹎%U龡&amp;H齲_x0001_C铣_x0014__x0007__x0001__x0001_ 3 3 2 3 2" xfId="433"/>
    <cellStyle name="?鹎%U龡&amp;H齲_x0001_C铣_x0014__x0007__x0001__x0001_ 3 3 2 3 2 2" xfId="3128"/>
    <cellStyle name="?鹎%U龡&amp;H齲_x0001_C铣_x0014__x0007__x0001__x0001_ 3 3 2 3 3" xfId="434"/>
    <cellStyle name="?鹎%U龡&amp;H齲_x0001_C铣_x0014__x0007__x0001__x0001_ 3 3 2 3 3 2" xfId="3129"/>
    <cellStyle name="?鹎%U龡&amp;H齲_x0001_C铣_x0014__x0007__x0001__x0001_ 3 3 2 3 4" xfId="3127"/>
    <cellStyle name="?鹎%U龡&amp;H齲_x0001_C铣_x0014__x0007__x0001__x0001_ 3 3 2 3_2015财政决算公开" xfId="3130"/>
    <cellStyle name="?鹎%U龡&amp;H齲_x0001_C铣_x0014__x0007__x0001__x0001_ 3 3 2 4" xfId="438"/>
    <cellStyle name="?鹎%U龡&amp;H齲_x0001_C铣_x0014__x0007__x0001__x0001_ 3 3 2 4 2" xfId="181"/>
    <cellStyle name="?鹎%U龡&amp;H齲_x0001_C铣_x0014__x0007__x0001__x0001_ 3 3 2 4 2 2" xfId="3132"/>
    <cellStyle name="?鹎%U龡&amp;H齲_x0001_C铣_x0014__x0007__x0001__x0001_ 3 3 2 4 3" xfId="440"/>
    <cellStyle name="?鹎%U龡&amp;H齲_x0001_C铣_x0014__x0007__x0001__x0001_ 3 3 2 4 3 2" xfId="3133"/>
    <cellStyle name="?鹎%U龡&amp;H齲_x0001_C铣_x0014__x0007__x0001__x0001_ 3 3 2 4 4" xfId="442"/>
    <cellStyle name="?鹎%U龡&amp;H齲_x0001_C铣_x0014__x0007__x0001__x0001_ 3 3 2 4 4 2" xfId="3134"/>
    <cellStyle name="?鹎%U龡&amp;H齲_x0001_C铣_x0014__x0007__x0001__x0001_ 3 3 2 4 5" xfId="3131"/>
    <cellStyle name="?鹎%U龡&amp;H齲_x0001_C铣_x0014__x0007__x0001__x0001_ 3 3 2 4_2015财政决算公开" xfId="3135"/>
    <cellStyle name="?鹎%U龡&amp;H齲_x0001_C铣_x0014__x0007__x0001__x0001_ 3 3 2 5" xfId="447"/>
    <cellStyle name="?鹎%U龡&amp;H齲_x0001_C铣_x0014__x0007__x0001__x0001_ 3 3 2 5 2" xfId="3136"/>
    <cellStyle name="?鹎%U龡&amp;H齲_x0001_C铣_x0014__x0007__x0001__x0001_ 3 3 2 6" xfId="449"/>
    <cellStyle name="?鹎%U龡&amp;H齲_x0001_C铣_x0014__x0007__x0001__x0001_ 3 3 2 6 2" xfId="3137"/>
    <cellStyle name="?鹎%U龡&amp;H齲_x0001_C铣_x0014__x0007__x0001__x0001_ 3 3 2 7" xfId="452"/>
    <cellStyle name="?鹎%U龡&amp;H齲_x0001_C铣_x0014__x0007__x0001__x0001_ 3 3 2 7 2" xfId="3138"/>
    <cellStyle name="?鹎%U龡&amp;H齲_x0001_C铣_x0014__x0007__x0001__x0001_ 3 3 2 8" xfId="3121"/>
    <cellStyle name="?鹎%U龡&amp;H齲_x0001_C铣_x0014__x0007__x0001__x0001_ 3 3 2_2015财政决算公开" xfId="3139"/>
    <cellStyle name="?鹎%U龡&amp;H齲_x0001_C铣_x0014__x0007__x0001__x0001_ 3 3 3" xfId="454"/>
    <cellStyle name="?鹎%U龡&amp;H齲_x0001_C铣_x0014__x0007__x0001__x0001_ 3 3 3 2" xfId="317"/>
    <cellStyle name="?鹎%U龡&amp;H齲_x0001_C铣_x0014__x0007__x0001__x0001_ 3 3 3 2 2" xfId="3141"/>
    <cellStyle name="?鹎%U龡&amp;H齲_x0001_C铣_x0014__x0007__x0001__x0001_ 3 3 3 3" xfId="457"/>
    <cellStyle name="?鹎%U龡&amp;H齲_x0001_C铣_x0014__x0007__x0001__x0001_ 3 3 3 3 2" xfId="3142"/>
    <cellStyle name="?鹎%U龡&amp;H齲_x0001_C铣_x0014__x0007__x0001__x0001_ 3 3 3 4" xfId="460"/>
    <cellStyle name="?鹎%U龡&amp;H齲_x0001_C铣_x0014__x0007__x0001__x0001_ 3 3 3 4 2" xfId="3143"/>
    <cellStyle name="?鹎%U龡&amp;H齲_x0001_C铣_x0014__x0007__x0001__x0001_ 3 3 3 5" xfId="3140"/>
    <cellStyle name="?鹎%U龡&amp;H齲_x0001_C铣_x0014__x0007__x0001__x0001_ 3 3 3_2015财政决算公开" xfId="3144"/>
    <cellStyle name="?鹎%U龡&amp;H齲_x0001_C铣_x0014__x0007__x0001__x0001_ 3 3 4" xfId="383"/>
    <cellStyle name="?鹎%U龡&amp;H齲_x0001_C铣_x0014__x0007__x0001__x0001_ 3 3 4 2" xfId="387"/>
    <cellStyle name="?鹎%U龡&amp;H齲_x0001_C铣_x0014__x0007__x0001__x0001_ 3 3 4 2 2" xfId="3146"/>
    <cellStyle name="?鹎%U龡&amp;H齲_x0001_C铣_x0014__x0007__x0001__x0001_ 3 3 4 3" xfId="388"/>
    <cellStyle name="?鹎%U龡&amp;H齲_x0001_C铣_x0014__x0007__x0001__x0001_ 3 3 4 3 2" xfId="3147"/>
    <cellStyle name="?鹎%U龡&amp;H齲_x0001_C铣_x0014__x0007__x0001__x0001_ 3 3 4 4" xfId="391"/>
    <cellStyle name="?鹎%U龡&amp;H齲_x0001_C铣_x0014__x0007__x0001__x0001_ 3 3 4 4 2" xfId="3148"/>
    <cellStyle name="?鹎%U龡&amp;H齲_x0001_C铣_x0014__x0007__x0001__x0001_ 3 3 4 5" xfId="3145"/>
    <cellStyle name="?鹎%U龡&amp;H齲_x0001_C铣_x0014__x0007__x0001__x0001_ 3 3 4_2015财政决算公开" xfId="3149"/>
    <cellStyle name="?鹎%U龡&amp;H齲_x0001_C铣_x0014__x0007__x0001__x0001_ 3 3 5" xfId="396"/>
    <cellStyle name="?鹎%U龡&amp;H齲_x0001_C铣_x0014__x0007__x0001__x0001_ 3 3 5 2" xfId="398"/>
    <cellStyle name="?鹎%U龡&amp;H齲_x0001_C铣_x0014__x0007__x0001__x0001_ 3 3 5 2 2" xfId="3151"/>
    <cellStyle name="?鹎%U龡&amp;H齲_x0001_C铣_x0014__x0007__x0001__x0001_ 3 3 5 3" xfId="400"/>
    <cellStyle name="?鹎%U龡&amp;H齲_x0001_C铣_x0014__x0007__x0001__x0001_ 3 3 5 3 2" xfId="3152"/>
    <cellStyle name="?鹎%U龡&amp;H齲_x0001_C铣_x0014__x0007__x0001__x0001_ 3 3 5 4" xfId="3150"/>
    <cellStyle name="?鹎%U龡&amp;H齲_x0001_C铣_x0014__x0007__x0001__x0001_ 3 3 5_2015财政决算公开" xfId="3153"/>
    <cellStyle name="?鹎%U龡&amp;H齲_x0001_C铣_x0014__x0007__x0001__x0001_ 3 3 6" xfId="58"/>
    <cellStyle name="?鹎%U龡&amp;H齲_x0001_C铣_x0014__x0007__x0001__x0001_ 3 3 6 2" xfId="405"/>
    <cellStyle name="?鹎%U龡&amp;H齲_x0001_C铣_x0014__x0007__x0001__x0001_ 3 3 6 2 2" xfId="3155"/>
    <cellStyle name="?鹎%U龡&amp;H齲_x0001_C铣_x0014__x0007__x0001__x0001_ 3 3 6 3" xfId="406"/>
    <cellStyle name="?鹎%U龡&amp;H齲_x0001_C铣_x0014__x0007__x0001__x0001_ 3 3 6 3 2" xfId="3156"/>
    <cellStyle name="?鹎%U龡&amp;H齲_x0001_C铣_x0014__x0007__x0001__x0001_ 3 3 6 4" xfId="410"/>
    <cellStyle name="?鹎%U龡&amp;H齲_x0001_C铣_x0014__x0007__x0001__x0001_ 3 3 6 4 2" xfId="3157"/>
    <cellStyle name="?鹎%U龡&amp;H齲_x0001_C铣_x0014__x0007__x0001__x0001_ 3 3 6 5" xfId="3154"/>
    <cellStyle name="?鹎%U龡&amp;H齲_x0001_C铣_x0014__x0007__x0001__x0001_ 3 3 6_2015财政决算公开" xfId="3158"/>
    <cellStyle name="?鹎%U龡&amp;H齲_x0001_C铣_x0014__x0007__x0001__x0001_ 3 3 7" xfId="65"/>
    <cellStyle name="?鹎%U龡&amp;H齲_x0001_C铣_x0014__x0007__x0001__x0001_ 3 3 7 2" xfId="3159"/>
    <cellStyle name="?鹎%U龡&amp;H齲_x0001_C铣_x0014__x0007__x0001__x0001_ 3 3 8" xfId="70"/>
    <cellStyle name="?鹎%U龡&amp;H齲_x0001_C铣_x0014__x0007__x0001__x0001_ 3 3 8 2" xfId="3160"/>
    <cellStyle name="?鹎%U龡&amp;H齲_x0001_C铣_x0014__x0007__x0001__x0001_ 3 3 9" xfId="414"/>
    <cellStyle name="?鹎%U龡&amp;H齲_x0001_C铣_x0014__x0007__x0001__x0001_ 3 3 9 2" xfId="3161"/>
    <cellStyle name="?鹎%U龡&amp;H齲_x0001_C铣_x0014__x0007__x0001__x0001_ 3 3_2015财政决算公开" xfId="3162"/>
    <cellStyle name="?鹎%U龡&amp;H齲_x0001_C铣_x0014__x0007__x0001__x0001_ 3 4" xfId="462"/>
    <cellStyle name="?鹎%U龡&amp;H齲_x0001_C铣_x0014__x0007__x0001__x0001_ 3 4 10" xfId="3163"/>
    <cellStyle name="?鹎%U龡&amp;H齲_x0001_C铣_x0014__x0007__x0001__x0001_ 3 4 2" xfId="463"/>
    <cellStyle name="?鹎%U龡&amp;H齲_x0001_C铣_x0014__x0007__x0001__x0001_ 3 4 2 2" xfId="464"/>
    <cellStyle name="?鹎%U龡&amp;H齲_x0001_C铣_x0014__x0007__x0001__x0001_ 3 4 2 2 2" xfId="465"/>
    <cellStyle name="?鹎%U龡&amp;H齲_x0001_C铣_x0014__x0007__x0001__x0001_ 3 4 2 2 2 2" xfId="3166"/>
    <cellStyle name="?鹎%U龡&amp;H齲_x0001_C铣_x0014__x0007__x0001__x0001_ 3 4 2 2 3" xfId="466"/>
    <cellStyle name="?鹎%U龡&amp;H齲_x0001_C铣_x0014__x0007__x0001__x0001_ 3 4 2 2 3 2" xfId="3167"/>
    <cellStyle name="?鹎%U龡&amp;H齲_x0001_C铣_x0014__x0007__x0001__x0001_ 3 4 2 2 4" xfId="467"/>
    <cellStyle name="?鹎%U龡&amp;H齲_x0001_C铣_x0014__x0007__x0001__x0001_ 3 4 2 2 4 2" xfId="3168"/>
    <cellStyle name="?鹎%U龡&amp;H齲_x0001_C铣_x0014__x0007__x0001__x0001_ 3 4 2 2 5" xfId="3165"/>
    <cellStyle name="?鹎%U龡&amp;H齲_x0001_C铣_x0014__x0007__x0001__x0001_ 3 4 2 2_2015财政决算公开" xfId="3169"/>
    <cellStyle name="?鹎%U龡&amp;H齲_x0001_C铣_x0014__x0007__x0001__x0001_ 3 4 2 3" xfId="468"/>
    <cellStyle name="?鹎%U龡&amp;H齲_x0001_C铣_x0014__x0007__x0001__x0001_ 3 4 2 3 2" xfId="469"/>
    <cellStyle name="?鹎%U龡&amp;H齲_x0001_C铣_x0014__x0007__x0001__x0001_ 3 4 2 3 2 2" xfId="3171"/>
    <cellStyle name="?鹎%U龡&amp;H齲_x0001_C铣_x0014__x0007__x0001__x0001_ 3 4 2 3 3" xfId="470"/>
    <cellStyle name="?鹎%U龡&amp;H齲_x0001_C铣_x0014__x0007__x0001__x0001_ 3 4 2 3 3 2" xfId="3172"/>
    <cellStyle name="?鹎%U龡&amp;H齲_x0001_C铣_x0014__x0007__x0001__x0001_ 3 4 2 3 4" xfId="3170"/>
    <cellStyle name="?鹎%U龡&amp;H齲_x0001_C铣_x0014__x0007__x0001__x0001_ 3 4 2 3_2015财政决算公开" xfId="3173"/>
    <cellStyle name="?鹎%U龡&amp;H齲_x0001_C铣_x0014__x0007__x0001__x0001_ 3 4 2 4" xfId="473"/>
    <cellStyle name="?鹎%U龡&amp;H齲_x0001_C铣_x0014__x0007__x0001__x0001_ 3 4 2 4 2" xfId="453"/>
    <cellStyle name="?鹎%U龡&amp;H齲_x0001_C铣_x0014__x0007__x0001__x0001_ 3 4 2 4 2 2" xfId="3175"/>
    <cellStyle name="?鹎%U龡&amp;H齲_x0001_C铣_x0014__x0007__x0001__x0001_ 3 4 2 4 3" xfId="476"/>
    <cellStyle name="?鹎%U龡&amp;H齲_x0001_C铣_x0014__x0007__x0001__x0001_ 3 4 2 4 3 2" xfId="3176"/>
    <cellStyle name="?鹎%U龡&amp;H齲_x0001_C铣_x0014__x0007__x0001__x0001_ 3 4 2 4 4" xfId="477"/>
    <cellStyle name="?鹎%U龡&amp;H齲_x0001_C铣_x0014__x0007__x0001__x0001_ 3 4 2 4 4 2" xfId="3177"/>
    <cellStyle name="?鹎%U龡&amp;H齲_x0001_C铣_x0014__x0007__x0001__x0001_ 3 4 2 4 5" xfId="3174"/>
    <cellStyle name="?鹎%U龡&amp;H齲_x0001_C铣_x0014__x0007__x0001__x0001_ 3 4 2 4_2015财政决算公开" xfId="3178"/>
    <cellStyle name="?鹎%U龡&amp;H齲_x0001_C铣_x0014__x0007__x0001__x0001_ 3 4 2 5" xfId="480"/>
    <cellStyle name="?鹎%U龡&amp;H齲_x0001_C铣_x0014__x0007__x0001__x0001_ 3 4 2 5 2" xfId="3179"/>
    <cellStyle name="?鹎%U龡&amp;H齲_x0001_C铣_x0014__x0007__x0001__x0001_ 3 4 2 6" xfId="482"/>
    <cellStyle name="?鹎%U龡&amp;H齲_x0001_C铣_x0014__x0007__x0001__x0001_ 3 4 2 6 2" xfId="3180"/>
    <cellStyle name="?鹎%U龡&amp;H齲_x0001_C铣_x0014__x0007__x0001__x0001_ 3 4 2 7" xfId="484"/>
    <cellStyle name="?鹎%U龡&amp;H齲_x0001_C铣_x0014__x0007__x0001__x0001_ 3 4 2 7 2" xfId="3181"/>
    <cellStyle name="?鹎%U龡&amp;H齲_x0001_C铣_x0014__x0007__x0001__x0001_ 3 4 2 8" xfId="3164"/>
    <cellStyle name="?鹎%U龡&amp;H齲_x0001_C铣_x0014__x0007__x0001__x0001_ 3 4 2_2015财政决算公开" xfId="3182"/>
    <cellStyle name="?鹎%U龡&amp;H齲_x0001_C铣_x0014__x0007__x0001__x0001_ 3 4 3" xfId="486"/>
    <cellStyle name="?鹎%U龡&amp;H齲_x0001_C铣_x0014__x0007__x0001__x0001_ 3 4 3 2" xfId="123"/>
    <cellStyle name="?鹎%U龡&amp;H齲_x0001_C铣_x0014__x0007__x0001__x0001_ 3 4 3 2 2" xfId="3184"/>
    <cellStyle name="?鹎%U龡&amp;H齲_x0001_C铣_x0014__x0007__x0001__x0001_ 3 4 3 3" xfId="29"/>
    <cellStyle name="?鹎%U龡&amp;H齲_x0001_C铣_x0014__x0007__x0001__x0001_ 3 4 3 3 2" xfId="3185"/>
    <cellStyle name="?鹎%U龡&amp;H齲_x0001_C铣_x0014__x0007__x0001__x0001_ 3 4 3 4" xfId="36"/>
    <cellStyle name="?鹎%U龡&amp;H齲_x0001_C铣_x0014__x0007__x0001__x0001_ 3 4 3 4 2" xfId="3186"/>
    <cellStyle name="?鹎%U龡&amp;H齲_x0001_C铣_x0014__x0007__x0001__x0001_ 3 4 3 5" xfId="3183"/>
    <cellStyle name="?鹎%U龡&amp;H齲_x0001_C铣_x0014__x0007__x0001__x0001_ 3 4 3_2015财政决算公开" xfId="3187"/>
    <cellStyle name="?鹎%U龡&amp;H齲_x0001_C铣_x0014__x0007__x0001__x0001_ 3 4 4" xfId="325"/>
    <cellStyle name="?鹎%U龡&amp;H齲_x0001_C铣_x0014__x0007__x0001__x0001_ 3 4 4 2" xfId="100"/>
    <cellStyle name="?鹎%U龡&amp;H齲_x0001_C铣_x0014__x0007__x0001__x0001_ 3 4 4 2 2" xfId="3189"/>
    <cellStyle name="?鹎%U龡&amp;H齲_x0001_C铣_x0014__x0007__x0001__x0001_ 3 4 4 3" xfId="24"/>
    <cellStyle name="?鹎%U龡&amp;H齲_x0001_C铣_x0014__x0007__x0001__x0001_ 3 4 4 3 2" xfId="3190"/>
    <cellStyle name="?鹎%U龡&amp;H齲_x0001_C铣_x0014__x0007__x0001__x0001_ 3 4 4 4" xfId="329"/>
    <cellStyle name="?鹎%U龡&amp;H齲_x0001_C铣_x0014__x0007__x0001__x0001_ 3 4 4 4 2" xfId="3191"/>
    <cellStyle name="?鹎%U龡&amp;H齲_x0001_C铣_x0014__x0007__x0001__x0001_ 3 4 4 5" xfId="3188"/>
    <cellStyle name="?鹎%U龡&amp;H齲_x0001_C铣_x0014__x0007__x0001__x0001_ 3 4 4_2015财政决算公开" xfId="3192"/>
    <cellStyle name="?鹎%U龡&amp;H齲_x0001_C铣_x0014__x0007__x0001__x0001_ 3 4 5" xfId="331"/>
    <cellStyle name="?鹎%U龡&amp;H齲_x0001_C铣_x0014__x0007__x0001__x0001_ 3 4 5 2" xfId="334"/>
    <cellStyle name="?鹎%U龡&amp;H齲_x0001_C铣_x0014__x0007__x0001__x0001_ 3 4 5 2 2" xfId="3194"/>
    <cellStyle name="?鹎%U龡&amp;H齲_x0001_C铣_x0014__x0007__x0001__x0001_ 3 4 5 3" xfId="336"/>
    <cellStyle name="?鹎%U龡&amp;H齲_x0001_C铣_x0014__x0007__x0001__x0001_ 3 4 5 3 2" xfId="3195"/>
    <cellStyle name="?鹎%U龡&amp;H齲_x0001_C铣_x0014__x0007__x0001__x0001_ 3 4 5 4" xfId="3193"/>
    <cellStyle name="?鹎%U龡&amp;H齲_x0001_C铣_x0014__x0007__x0001__x0001_ 3 4 5_2015财政决算公开" xfId="3196"/>
    <cellStyle name="?鹎%U龡&amp;H齲_x0001_C铣_x0014__x0007__x0001__x0001_ 3 4 6" xfId="80"/>
    <cellStyle name="?鹎%U龡&amp;H齲_x0001_C铣_x0014__x0007__x0001__x0001_ 3 4 6 2" xfId="338"/>
    <cellStyle name="?鹎%U龡&amp;H齲_x0001_C铣_x0014__x0007__x0001__x0001_ 3 4 6 2 2" xfId="3198"/>
    <cellStyle name="?鹎%U龡&amp;H齲_x0001_C铣_x0014__x0007__x0001__x0001_ 3 4 6 3" xfId="340"/>
    <cellStyle name="?鹎%U龡&amp;H齲_x0001_C铣_x0014__x0007__x0001__x0001_ 3 4 6 3 2" xfId="3199"/>
    <cellStyle name="?鹎%U龡&amp;H齲_x0001_C铣_x0014__x0007__x0001__x0001_ 3 4 6 4" xfId="342"/>
    <cellStyle name="?鹎%U龡&amp;H齲_x0001_C铣_x0014__x0007__x0001__x0001_ 3 4 6 4 2" xfId="3200"/>
    <cellStyle name="?鹎%U龡&amp;H齲_x0001_C铣_x0014__x0007__x0001__x0001_ 3 4 6 5" xfId="3197"/>
    <cellStyle name="?鹎%U龡&amp;H齲_x0001_C铣_x0014__x0007__x0001__x0001_ 3 4 6_2015财政决算公开" xfId="3201"/>
    <cellStyle name="?鹎%U龡&amp;H齲_x0001_C铣_x0014__x0007__x0001__x0001_ 3 4 7" xfId="88"/>
    <cellStyle name="?鹎%U龡&amp;H齲_x0001_C铣_x0014__x0007__x0001__x0001_ 3 4 7 2" xfId="3202"/>
    <cellStyle name="?鹎%U龡&amp;H齲_x0001_C铣_x0014__x0007__x0001__x0001_ 3 4 8" xfId="345"/>
    <cellStyle name="?鹎%U龡&amp;H齲_x0001_C铣_x0014__x0007__x0001__x0001_ 3 4 8 2" xfId="3203"/>
    <cellStyle name="?鹎%U龡&amp;H齲_x0001_C铣_x0014__x0007__x0001__x0001_ 3 4 9" xfId="347"/>
    <cellStyle name="?鹎%U龡&amp;H齲_x0001_C铣_x0014__x0007__x0001__x0001_ 3 4 9 2" xfId="3204"/>
    <cellStyle name="?鹎%U龡&amp;H齲_x0001_C铣_x0014__x0007__x0001__x0001_ 3 4_2015财政决算公开" xfId="3205"/>
    <cellStyle name="?鹎%U龡&amp;H齲_x0001_C铣_x0014__x0007__x0001__x0001_ 3 5" xfId="487"/>
    <cellStyle name="?鹎%U龡&amp;H齲_x0001_C铣_x0014__x0007__x0001__x0001_ 3 5 2" xfId="488"/>
    <cellStyle name="?鹎%U龡&amp;H齲_x0001_C铣_x0014__x0007__x0001__x0001_ 3 5 2 2" xfId="3207"/>
    <cellStyle name="?鹎%U龡&amp;H齲_x0001_C铣_x0014__x0007__x0001__x0001_ 3 5 3" xfId="3206"/>
    <cellStyle name="?鹎%U龡&amp;H齲_x0001_C铣_x0014__x0007__x0001__x0001_ 3 5_2015财政决算公开" xfId="3208"/>
    <cellStyle name="?鹎%U龡&amp;H齲_x0001_C铣_x0014__x0007__x0001__x0001_ 3 6" xfId="489"/>
    <cellStyle name="?鹎%U龡&amp;H齲_x0001_C铣_x0014__x0007__x0001__x0001_ 3 6 2" xfId="491"/>
    <cellStyle name="?鹎%U龡&amp;H齲_x0001_C铣_x0014__x0007__x0001__x0001_ 3 6 2 2" xfId="3210"/>
    <cellStyle name="?鹎%U龡&amp;H齲_x0001_C铣_x0014__x0007__x0001__x0001_ 3 6 3" xfId="233"/>
    <cellStyle name="?鹎%U龡&amp;H齲_x0001_C铣_x0014__x0007__x0001__x0001_ 3 6 3 2" xfId="3211"/>
    <cellStyle name="?鹎%U龡&amp;H齲_x0001_C铣_x0014__x0007__x0001__x0001_ 3 6 4" xfId="3209"/>
    <cellStyle name="?鹎%U龡&amp;H齲_x0001_C铣_x0014__x0007__x0001__x0001_ 3 6_2015财政决算公开" xfId="3212"/>
    <cellStyle name="?鹎%U龡&amp;H齲_x0001_C铣_x0014__x0007__x0001__x0001_ 3 7" xfId="495"/>
    <cellStyle name="?鹎%U龡&amp;H齲_x0001_C铣_x0014__x0007__x0001__x0001_ 3 7 2" xfId="3213"/>
    <cellStyle name="?鹎%U龡&amp;H齲_x0001_C铣_x0014__x0007__x0001__x0001_ 3 8" xfId="496"/>
    <cellStyle name="?鹎%U龡&amp;H齲_x0001_C铣_x0014__x0007__x0001__x0001_ 3 8 2" xfId="3214"/>
    <cellStyle name="?鹎%U龡&amp;H齲_x0001_C铣_x0014__x0007__x0001__x0001_ 3 9" xfId="196"/>
    <cellStyle name="?鹎%U龡&amp;H齲_x0001_C铣_x0014__x0007__x0001__x0001_ 3 9 2" xfId="3215"/>
    <cellStyle name="?鹎%U龡&amp;H齲_x0001_C铣_x0014__x0007__x0001__x0001_ 3_2015财政决算公开" xfId="3216"/>
    <cellStyle name="?鹎%U龡&amp;H齲_x0001_C铣_x0014__x0007__x0001__x0001_ 4" xfId="458"/>
    <cellStyle name="?鹎%U龡&amp;H齲_x0001_C铣_x0014__x0007__x0001__x0001_ 4 10" xfId="3217"/>
    <cellStyle name="?鹎%U龡&amp;H齲_x0001_C铣_x0014__x0007__x0001__x0001_ 4 2" xfId="302"/>
    <cellStyle name="?鹎%U龡&amp;H齲_x0001_C铣_x0014__x0007__x0001__x0001_ 4 2 2" xfId="499"/>
    <cellStyle name="?鹎%U龡&amp;H齲_x0001_C铣_x0014__x0007__x0001__x0001_ 4 2 2 2" xfId="502"/>
    <cellStyle name="?鹎%U龡&amp;H齲_x0001_C铣_x0014__x0007__x0001__x0001_ 4 2 2 2 2" xfId="3220"/>
    <cellStyle name="?鹎%U龡&amp;H齲_x0001_C铣_x0014__x0007__x0001__x0001_ 4 2 2 3" xfId="505"/>
    <cellStyle name="?鹎%U龡&amp;H齲_x0001_C铣_x0014__x0007__x0001__x0001_ 4 2 2 3 2" xfId="3221"/>
    <cellStyle name="?鹎%U龡&amp;H齲_x0001_C铣_x0014__x0007__x0001__x0001_ 4 2 2 4" xfId="507"/>
    <cellStyle name="?鹎%U龡&amp;H齲_x0001_C铣_x0014__x0007__x0001__x0001_ 4 2 2 4 2" xfId="3222"/>
    <cellStyle name="?鹎%U龡&amp;H齲_x0001_C铣_x0014__x0007__x0001__x0001_ 4 2 2 5" xfId="508"/>
    <cellStyle name="?鹎%U龡&amp;H齲_x0001_C铣_x0014__x0007__x0001__x0001_ 4 2 2 5 2" xfId="3223"/>
    <cellStyle name="?鹎%U龡&amp;H齲_x0001_C铣_x0014__x0007__x0001__x0001_ 4 2 2 6" xfId="3219"/>
    <cellStyle name="?鹎%U龡&amp;H齲_x0001_C铣_x0014__x0007__x0001__x0001_ 4 2 2_2015财政决算公开" xfId="3224"/>
    <cellStyle name="?鹎%U龡&amp;H齲_x0001_C铣_x0014__x0007__x0001__x0001_ 4 2 3" xfId="511"/>
    <cellStyle name="?鹎%U龡&amp;H齲_x0001_C铣_x0014__x0007__x0001__x0001_ 4 2 3 2" xfId="514"/>
    <cellStyle name="?鹎%U龡&amp;H齲_x0001_C铣_x0014__x0007__x0001__x0001_ 4 2 3 2 2" xfId="3226"/>
    <cellStyle name="?鹎%U龡&amp;H齲_x0001_C铣_x0014__x0007__x0001__x0001_ 4 2 3 3" xfId="517"/>
    <cellStyle name="?鹎%U龡&amp;H齲_x0001_C铣_x0014__x0007__x0001__x0001_ 4 2 3 3 2" xfId="3227"/>
    <cellStyle name="?鹎%U龡&amp;H齲_x0001_C铣_x0014__x0007__x0001__x0001_ 4 2 3 4" xfId="3225"/>
    <cellStyle name="?鹎%U龡&amp;H齲_x0001_C铣_x0014__x0007__x0001__x0001_ 4 2 3_2015财政决算公开" xfId="3228"/>
    <cellStyle name="?鹎%U龡&amp;H齲_x0001_C铣_x0014__x0007__x0001__x0001_ 4 2 4" xfId="420"/>
    <cellStyle name="?鹎%U龡&amp;H齲_x0001_C铣_x0014__x0007__x0001__x0001_ 4 2 4 2" xfId="423"/>
    <cellStyle name="?鹎%U龡&amp;H齲_x0001_C铣_x0014__x0007__x0001__x0001_ 4 2 4 2 2" xfId="3230"/>
    <cellStyle name="?鹎%U龡&amp;H齲_x0001_C铣_x0014__x0007__x0001__x0001_ 4 2 4 3" xfId="425"/>
    <cellStyle name="?鹎%U龡&amp;H齲_x0001_C铣_x0014__x0007__x0001__x0001_ 4 2 4 3 2" xfId="3231"/>
    <cellStyle name="?鹎%U龡&amp;H齲_x0001_C铣_x0014__x0007__x0001__x0001_ 4 2 4 4" xfId="427"/>
    <cellStyle name="?鹎%U龡&amp;H齲_x0001_C铣_x0014__x0007__x0001__x0001_ 4 2 4 4 2" xfId="3232"/>
    <cellStyle name="?鹎%U龡&amp;H齲_x0001_C铣_x0014__x0007__x0001__x0001_ 4 2 4 5" xfId="3229"/>
    <cellStyle name="?鹎%U龡&amp;H齲_x0001_C铣_x0014__x0007__x0001__x0001_ 4 2 4_2015财政决算公开" xfId="3233"/>
    <cellStyle name="?鹎%U龡&amp;H齲_x0001_C铣_x0014__x0007__x0001__x0001_ 4 2 5" xfId="431"/>
    <cellStyle name="?鹎%U龡&amp;H齲_x0001_C铣_x0014__x0007__x0001__x0001_ 4 2 5 2" xfId="3234"/>
    <cellStyle name="?鹎%U龡&amp;H齲_x0001_C铣_x0014__x0007__x0001__x0001_ 4 2 6" xfId="436"/>
    <cellStyle name="?鹎%U龡&amp;H齲_x0001_C铣_x0014__x0007__x0001__x0001_ 4 2 6 2" xfId="3235"/>
    <cellStyle name="?鹎%U龡&amp;H齲_x0001_C铣_x0014__x0007__x0001__x0001_ 4 2 7" xfId="445"/>
    <cellStyle name="?鹎%U龡&amp;H齲_x0001_C铣_x0014__x0007__x0001__x0001_ 4 2 7 2" xfId="3236"/>
    <cellStyle name="?鹎%U龡&amp;H齲_x0001_C铣_x0014__x0007__x0001__x0001_ 4 2 8" xfId="3218"/>
    <cellStyle name="?鹎%U龡&amp;H齲_x0001_C铣_x0014__x0007__x0001__x0001_ 4 2_2015财政决算公开" xfId="3237"/>
    <cellStyle name="?鹎%U龡&amp;H齲_x0001_C铣_x0014__x0007__x0001__x0001_ 4 3" xfId="305"/>
    <cellStyle name="?鹎%U龡&amp;H齲_x0001_C铣_x0014__x0007__x0001__x0001_ 4 3 2" xfId="519"/>
    <cellStyle name="?鹎%U龡&amp;H齲_x0001_C铣_x0014__x0007__x0001__x0001_ 4 3 2 2" xfId="3239"/>
    <cellStyle name="?鹎%U龡&amp;H齲_x0001_C铣_x0014__x0007__x0001__x0001_ 4 3 3" xfId="2"/>
    <cellStyle name="?鹎%U龡&amp;H齲_x0001_C铣_x0014__x0007__x0001__x0001_ 4 3 3 2" xfId="3240"/>
    <cellStyle name="?鹎%U龡&amp;H齲_x0001_C铣_x0014__x0007__x0001__x0001_ 4 3 4" xfId="315"/>
    <cellStyle name="?鹎%U龡&amp;H齲_x0001_C铣_x0014__x0007__x0001__x0001_ 4 3 4 2" xfId="3241"/>
    <cellStyle name="?鹎%U龡&amp;H齲_x0001_C铣_x0014__x0007__x0001__x0001_ 4 3 5" xfId="456"/>
    <cellStyle name="?鹎%U龡&amp;H齲_x0001_C铣_x0014__x0007__x0001__x0001_ 4 3 5 2" xfId="3242"/>
    <cellStyle name="?鹎%U龡&amp;H齲_x0001_C铣_x0014__x0007__x0001__x0001_ 4 3 6" xfId="3238"/>
    <cellStyle name="?鹎%U龡&amp;H齲_x0001_C铣_x0014__x0007__x0001__x0001_ 4 3_2015财政决算公开" xfId="3243"/>
    <cellStyle name="?鹎%U龡&amp;H齲_x0001_C铣_x0014__x0007__x0001__x0001_ 4 4" xfId="521"/>
    <cellStyle name="?鹎%U龡&amp;H齲_x0001_C铣_x0014__x0007__x0001__x0001_ 4 4 2" xfId="523"/>
    <cellStyle name="?鹎%U龡&amp;H齲_x0001_C铣_x0014__x0007__x0001__x0001_ 4 4 2 2" xfId="3245"/>
    <cellStyle name="?鹎%U龡&amp;H齲_x0001_C铣_x0014__x0007__x0001__x0001_ 4 4 3" xfId="526"/>
    <cellStyle name="?鹎%U龡&amp;H齲_x0001_C铣_x0014__x0007__x0001__x0001_ 4 4 3 2" xfId="3246"/>
    <cellStyle name="?鹎%U龡&amp;H齲_x0001_C铣_x0014__x0007__x0001__x0001_ 4 4 4" xfId="386"/>
    <cellStyle name="?鹎%U龡&amp;H齲_x0001_C铣_x0014__x0007__x0001__x0001_ 4 4 4 2" xfId="3247"/>
    <cellStyle name="?鹎%U龡&amp;H齲_x0001_C铣_x0014__x0007__x0001__x0001_ 4 4 5" xfId="3244"/>
    <cellStyle name="?鹎%U龡&amp;H齲_x0001_C铣_x0014__x0007__x0001__x0001_ 4 4_2015财政决算公开" xfId="3248"/>
    <cellStyle name="?鹎%U龡&amp;H齲_x0001_C铣_x0014__x0007__x0001__x0001_ 4 5" xfId="528"/>
    <cellStyle name="?鹎%U龡&amp;H齲_x0001_C铣_x0014__x0007__x0001__x0001_ 4 5 2" xfId="530"/>
    <cellStyle name="?鹎%U龡&amp;H齲_x0001_C铣_x0014__x0007__x0001__x0001_ 4 5 2 2" xfId="3250"/>
    <cellStyle name="?鹎%U龡&amp;H齲_x0001_C铣_x0014__x0007__x0001__x0001_ 4 5 3" xfId="531"/>
    <cellStyle name="?鹎%U龡&amp;H齲_x0001_C铣_x0014__x0007__x0001__x0001_ 4 5 3 2" xfId="3251"/>
    <cellStyle name="?鹎%U龡&amp;H齲_x0001_C铣_x0014__x0007__x0001__x0001_ 4 5 4" xfId="3249"/>
    <cellStyle name="?鹎%U龡&amp;H齲_x0001_C铣_x0014__x0007__x0001__x0001_ 4 5_2015财政决算公开" xfId="3252"/>
    <cellStyle name="?鹎%U龡&amp;H齲_x0001_C铣_x0014__x0007__x0001__x0001_ 4 6" xfId="533"/>
    <cellStyle name="?鹎%U龡&amp;H齲_x0001_C铣_x0014__x0007__x0001__x0001_ 4 6 2" xfId="536"/>
    <cellStyle name="?鹎%U龡&amp;H齲_x0001_C铣_x0014__x0007__x0001__x0001_ 4 6 2 2" xfId="3254"/>
    <cellStyle name="?鹎%U龡&amp;H齲_x0001_C铣_x0014__x0007__x0001__x0001_ 4 6 3" xfId="538"/>
    <cellStyle name="?鹎%U龡&amp;H齲_x0001_C铣_x0014__x0007__x0001__x0001_ 4 6 3 2" xfId="3255"/>
    <cellStyle name="?鹎%U龡&amp;H齲_x0001_C铣_x0014__x0007__x0001__x0001_ 4 6 4" xfId="404"/>
    <cellStyle name="?鹎%U龡&amp;H齲_x0001_C铣_x0014__x0007__x0001__x0001_ 4 6 4 2" xfId="3256"/>
    <cellStyle name="?鹎%U龡&amp;H齲_x0001_C铣_x0014__x0007__x0001__x0001_ 4 6 5" xfId="3253"/>
    <cellStyle name="?鹎%U龡&amp;H齲_x0001_C铣_x0014__x0007__x0001__x0001_ 4 6_2015财政决算公开" xfId="3257"/>
    <cellStyle name="?鹎%U龡&amp;H齲_x0001_C铣_x0014__x0007__x0001__x0001_ 4 7" xfId="539"/>
    <cellStyle name="?鹎%U龡&amp;H齲_x0001_C铣_x0014__x0007__x0001__x0001_ 4 7 2" xfId="3258"/>
    <cellStyle name="?鹎%U龡&amp;H齲_x0001_C铣_x0014__x0007__x0001__x0001_ 4 8" xfId="540"/>
    <cellStyle name="?鹎%U龡&amp;H齲_x0001_C铣_x0014__x0007__x0001__x0001_ 4 8 2" xfId="3259"/>
    <cellStyle name="?鹎%U龡&amp;H齲_x0001_C铣_x0014__x0007__x0001__x0001_ 4 9" xfId="203"/>
    <cellStyle name="?鹎%U龡&amp;H齲_x0001_C铣_x0014__x0007__x0001__x0001_ 4 9 2" xfId="3260"/>
    <cellStyle name="?鹎%U龡&amp;H齲_x0001_C铣_x0014__x0007__x0001__x0001_ 4_2015财政决算公开" xfId="3261"/>
    <cellStyle name="?鹎%U龡&amp;H齲_x0001_C铣_x0014__x0007__x0001__x0001_ 5" xfId="461"/>
    <cellStyle name="?鹎%U龡&amp;H齲_x0001_C铣_x0014__x0007__x0001__x0001_ 5 2" xfId="269"/>
    <cellStyle name="?鹎%U龡&amp;H齲_x0001_C铣_x0014__x0007__x0001__x0001_ 5 2 2" xfId="3263"/>
    <cellStyle name="?鹎%U龡&amp;H齲_x0001_C铣_x0014__x0007__x0001__x0001_ 5 3" xfId="542"/>
    <cellStyle name="?鹎%U龡&amp;H齲_x0001_C铣_x0014__x0007__x0001__x0001_ 5 3 2" xfId="3264"/>
    <cellStyle name="?鹎%U龡&amp;H齲_x0001_C铣_x0014__x0007__x0001__x0001_ 5 4" xfId="3262"/>
    <cellStyle name="?鹎%U龡&amp;H齲_x0001_C铣_x0014__x0007__x0001__x0001_ 5_2015财政决算公开" xfId="3265"/>
    <cellStyle name="?鹎%U龡&amp;H齲_x0001_C铣_x0014__x0007__x0001__x0001_ 6" xfId="545"/>
    <cellStyle name="?鹎%U龡&amp;H齲_x0001_C铣_x0014__x0007__x0001__x0001_ 6 2" xfId="549"/>
    <cellStyle name="?鹎%U龡&amp;H齲_x0001_C铣_x0014__x0007__x0001__x0001_ 6 2 2" xfId="3267"/>
    <cellStyle name="?鹎%U龡&amp;H齲_x0001_C铣_x0014__x0007__x0001__x0001_ 6 3" xfId="552"/>
    <cellStyle name="?鹎%U龡&amp;H齲_x0001_C铣_x0014__x0007__x0001__x0001_ 6 3 2" xfId="3268"/>
    <cellStyle name="?鹎%U龡&amp;H齲_x0001_C铣_x0014__x0007__x0001__x0001_ 6 4" xfId="3266"/>
    <cellStyle name="?鹎%U龡&amp;H齲_x0001_C铣_x0014__x0007__x0001__x0001_ 6_2015财政决算公开" xfId="3269"/>
    <cellStyle name="?鹎%U龡&amp;H齲_x0001_C铣_x0014__x0007__x0001__x0001_ 7" xfId="2852"/>
    <cellStyle name="?鹎%U龡&amp;H齲_x0001_C铣_x0014__x0007__x0001__x0001_ 8" xfId="5000"/>
    <cellStyle name="?鹎%U龡&amp;H齲_x0001_C铣_x0014__x0007__x0001__x0001_ 9" xfId="5001"/>
    <cellStyle name="20% - 强调文字颜色 1" xfId="553"/>
    <cellStyle name="20% - 强调文字颜色 1 10" xfId="5002"/>
    <cellStyle name="20% - 强调文字颜色 1 10 2" xfId="5003"/>
    <cellStyle name="20% - 强调文字颜色 1 10 2 2" xfId="5004"/>
    <cellStyle name="20% - 强调文字颜色 1 2" xfId="554"/>
    <cellStyle name="20% - 强调文字颜色 1 2 10" xfId="5005"/>
    <cellStyle name="20% - 强调文字颜色 1 2 10 2" xfId="5006"/>
    <cellStyle name="20% - 强调文字颜色 1 2 10 2 2" xfId="5007"/>
    <cellStyle name="20% - 强调文字颜色 1 2 2" xfId="147"/>
    <cellStyle name="20% - 强调文字颜色 1 2 2 2" xfId="152"/>
    <cellStyle name="20% - 强调文字颜色 1 2 2 2 2" xfId="555"/>
    <cellStyle name="20% - 强调文字颜色 1 2 2 2 2 2" xfId="3272"/>
    <cellStyle name="20% - 强调文字颜色 1 2 2 2 2 2 2" xfId="5008"/>
    <cellStyle name="20% - 强调文字颜色 1 2 2 2 2 2 3" xfId="5009"/>
    <cellStyle name="20% - 强调文字颜色 1 2 2 2 2 2 3 2" xfId="5010"/>
    <cellStyle name="20% - 强调文字颜色 1 2 2 2 3" xfId="2396"/>
    <cellStyle name="20% - 强调文字颜色 1 2 2 2 3 2" xfId="5011"/>
    <cellStyle name="20% - 强调文字颜色 1 2 2 2 3 3" xfId="5012"/>
    <cellStyle name="20% - 强调文字颜色 1 2 2 2 3 3 2" xfId="5013"/>
    <cellStyle name="20% - 强调文字颜色 1 2 2 2_2015财政决算公开" xfId="3273"/>
    <cellStyle name="20% - 强调文字颜色 1 2 2 3" xfId="158"/>
    <cellStyle name="20% - 强调文字颜色 1 2 2 3 2" xfId="2397"/>
    <cellStyle name="20% - 强调文字颜色 1 2 2 3 2 2" xfId="5014"/>
    <cellStyle name="20% - 强调文字颜色 1 2 2 3 2 3" xfId="5015"/>
    <cellStyle name="20% - 强调文字颜色 1 2 2 3 2 3 2" xfId="5016"/>
    <cellStyle name="20% - 强调文字颜色 1 2 2 4" xfId="2395"/>
    <cellStyle name="20% - 强调文字颜色 1 2 2 4 2" xfId="5017"/>
    <cellStyle name="20% - 强调文字颜色 1 2 2 4 3" xfId="5018"/>
    <cellStyle name="20% - 强调文字颜色 1 2 2 4 3 2" xfId="5019"/>
    <cellStyle name="20% - 强调文字颜色 1 2 2_2015财政决算公开" xfId="3274"/>
    <cellStyle name="20% - 强调文字颜色 1 2 3" xfId="12"/>
    <cellStyle name="20% - 强调文字颜色 1 2 3 2" xfId="49"/>
    <cellStyle name="20% - 强调文字颜色 1 2 3 2 2" xfId="53"/>
    <cellStyle name="20% - 强调文字颜色 1 2 3 2 2 2" xfId="3277"/>
    <cellStyle name="20% - 强调文字颜色 1 2 3 2 2 2 2" xfId="5020"/>
    <cellStyle name="20% - 强调文字颜色 1 2 3 2 2 2 3" xfId="5021"/>
    <cellStyle name="20% - 强调文字颜色 1 2 3 2 2 2 3 2" xfId="5022"/>
    <cellStyle name="20% - 强调文字颜色 1 2 3 2 3" xfId="3276"/>
    <cellStyle name="20% - 强调文字颜色 1 2 3 2 3 2" xfId="5023"/>
    <cellStyle name="20% - 强调文字颜色 1 2 3 2 3 3" xfId="5024"/>
    <cellStyle name="20% - 强调文字颜色 1 2 3 2 3 3 2" xfId="5025"/>
    <cellStyle name="20% - 强调文字颜色 1 2 3 2_2015财政决算公开" xfId="3278"/>
    <cellStyle name="20% - 强调文字颜色 1 2 3 3" xfId="90"/>
    <cellStyle name="20% - 强调文字颜色 1 2 3 3 2" xfId="3279"/>
    <cellStyle name="20% - 强调文字颜色 1 2 3 3 2 2" xfId="5026"/>
    <cellStyle name="20% - 强调文字颜色 1 2 3 3 2 3" xfId="5027"/>
    <cellStyle name="20% - 强调文字颜色 1 2 3 3 2 3 2" xfId="5028"/>
    <cellStyle name="20% - 强调文字颜色 1 2 3 4" xfId="2398"/>
    <cellStyle name="20% - 强调文字颜色 1 2 3 4 2" xfId="5029"/>
    <cellStyle name="20% - 强调文字颜色 1 2 3 4 3" xfId="5030"/>
    <cellStyle name="20% - 强调文字颜色 1 2 3 4 3 2" xfId="5031"/>
    <cellStyle name="20% - 强调文字颜色 1 2 3 5" xfId="3275"/>
    <cellStyle name="20% - 强调文字颜色 1 2 3 5 2" xfId="5032"/>
    <cellStyle name="20% - 强调文字颜色 1 2 3 5 3" xfId="5033"/>
    <cellStyle name="20% - 强调文字颜色 1 2 3 5 3 2" xfId="5034"/>
    <cellStyle name="20% - 强调文字颜色 1 2 3_2015财政决算公开" xfId="3280"/>
    <cellStyle name="20% - 强调文字颜色 1 2 4" xfId="163"/>
    <cellStyle name="20% - 强调文字颜色 1 2 4 2" xfId="166"/>
    <cellStyle name="20% - 强调文字颜色 1 2 4 2 2" xfId="3282"/>
    <cellStyle name="20% - 强调文字颜色 1 2 4 2 2 2" xfId="5035"/>
    <cellStyle name="20% - 强调文字颜色 1 2 4 2 2 3" xfId="5036"/>
    <cellStyle name="20% - 强调文字颜色 1 2 4 2 2 3 2" xfId="5037"/>
    <cellStyle name="20% - 强调文字颜色 1 2 4 3" xfId="2399"/>
    <cellStyle name="20% - 强调文字颜色 1 2 4 3 2" xfId="5038"/>
    <cellStyle name="20% - 强调文字颜色 1 2 4 3 3" xfId="5039"/>
    <cellStyle name="20% - 强调文字颜色 1 2 4 3 3 2" xfId="5040"/>
    <cellStyle name="20% - 强调文字颜色 1 2 4 4" xfId="3281"/>
    <cellStyle name="20% - 强调文字颜色 1 2 4 4 2" xfId="5041"/>
    <cellStyle name="20% - 强调文字颜色 1 2 4 4 3" xfId="5042"/>
    <cellStyle name="20% - 强调文字颜色 1 2 4 4 3 2" xfId="5043"/>
    <cellStyle name="20% - 强调文字颜色 1 2 4_2015财政决算公开" xfId="3283"/>
    <cellStyle name="20% - 强调文字颜色 1 2 5" xfId="226"/>
    <cellStyle name="20% - 强调文字颜色 1 2 5 2" xfId="3284"/>
    <cellStyle name="20% - 强调文字颜色 1 2 5 2 2" xfId="5044"/>
    <cellStyle name="20% - 强调文字颜色 1 2 5 2 3" xfId="5045"/>
    <cellStyle name="20% - 强调文字颜色 1 2 5 2 3 2" xfId="5046"/>
    <cellStyle name="20% - 强调文字颜色 1 2 6" xfId="2394"/>
    <cellStyle name="20% - 强调文字颜色 1 2 6 2" xfId="5047"/>
    <cellStyle name="20% - 强调文字颜色 1 2 6 3" xfId="5048"/>
    <cellStyle name="20% - 强调文字颜色 1 2 6 3 2" xfId="5049"/>
    <cellStyle name="20% - 强调文字颜色 1 2 7" xfId="3271"/>
    <cellStyle name="20% - 强调文字颜色 1 2 7 2" xfId="5050"/>
    <cellStyle name="20% - 强调文字颜色 1 2 7 3" xfId="5051"/>
    <cellStyle name="20% - 强调文字颜色 1 2 7 3 2" xfId="5052"/>
    <cellStyle name="20% - 强调文字颜色 1 2 8" xfId="5053"/>
    <cellStyle name="20% - 强调文字颜色 1 2 8 2" xfId="5054"/>
    <cellStyle name="20% - 强调文字颜色 1 2 8 2 2" xfId="5055"/>
    <cellStyle name="20% - 强调文字颜色 1 2 9" xfId="5056"/>
    <cellStyle name="20% - 强调文字颜色 1 2 9 2" xfId="5057"/>
    <cellStyle name="20% - 强调文字颜色 1 2 9 2 2" xfId="5058"/>
    <cellStyle name="20% - 强调文字颜色 1 2_2015财政决算公开" xfId="3285"/>
    <cellStyle name="20% - 强调文字颜色 1 3" xfId="557"/>
    <cellStyle name="20% - 强调文字颜色 1 3 2" xfId="211"/>
    <cellStyle name="20% - 强调文字颜色 1 3 2 2" xfId="21"/>
    <cellStyle name="20% - 强调文字颜色 1 3 2 2 2" xfId="95"/>
    <cellStyle name="20% - 强调文字颜色 1 3 2 2 2 2" xfId="3288"/>
    <cellStyle name="20% - 强调文字颜色 1 3 2 2 2 2 2" xfId="5059"/>
    <cellStyle name="20% - 强调文字颜色 1 3 2 2 2 2 3" xfId="5060"/>
    <cellStyle name="20% - 强调文字颜色 1 3 2 2 2 2 3 2" xfId="5061"/>
    <cellStyle name="20% - 强调文字颜色 1 3 2 2 3" xfId="3287"/>
    <cellStyle name="20% - 强调文字颜色 1 3 2 2 3 2" xfId="5062"/>
    <cellStyle name="20% - 强调文字颜色 1 3 2 2 3 3" xfId="5063"/>
    <cellStyle name="20% - 强调文字颜色 1 3 2 2 3 3 2" xfId="5064"/>
    <cellStyle name="20% - 强调文字颜色 1 3 2 2_2015财政决算公开" xfId="3289"/>
    <cellStyle name="20% - 强调文字颜色 1 3 2 3" xfId="558"/>
    <cellStyle name="20% - 强调文字颜色 1 3 2 3 2" xfId="3290"/>
    <cellStyle name="20% - 强调文字颜色 1 3 2 3 2 2" xfId="5065"/>
    <cellStyle name="20% - 强调文字颜色 1 3 2 3 2 3" xfId="5066"/>
    <cellStyle name="20% - 强调文字颜色 1 3 2 3 2 3 2" xfId="5067"/>
    <cellStyle name="20% - 强调文字颜色 1 3 2 4" xfId="3286"/>
    <cellStyle name="20% - 强调文字颜色 1 3 2 4 2" xfId="5068"/>
    <cellStyle name="20% - 强调文字颜色 1 3 2 4 3" xfId="5069"/>
    <cellStyle name="20% - 强调文字颜色 1 3 2 4 3 2" xfId="5070"/>
    <cellStyle name="20% - 强调文字颜色 1 3 2_2015财政决算公开" xfId="3291"/>
    <cellStyle name="20% - 强调文字颜色 1 3 3" xfId="216"/>
    <cellStyle name="20% - 强调文字颜色 1 3 3 2" xfId="319"/>
    <cellStyle name="20% - 强调文字颜色 1 3 3 2 2" xfId="3293"/>
    <cellStyle name="20% - 强调文字颜色 1 3 3 2 2 2" xfId="5071"/>
    <cellStyle name="20% - 强调文字颜色 1 3 3 2 2 3" xfId="5072"/>
    <cellStyle name="20% - 强调文字颜色 1 3 3 2 2 3 2" xfId="5073"/>
    <cellStyle name="20% - 强调文字颜色 1 3 3 3" xfId="3292"/>
    <cellStyle name="20% - 强调文字颜色 1 3 3 3 2" xfId="5074"/>
    <cellStyle name="20% - 强调文字颜色 1 3 3 3 3" xfId="5075"/>
    <cellStyle name="20% - 强调文字颜色 1 3 3 3 3 2" xfId="5076"/>
    <cellStyle name="20% - 强调文字颜色 1 3 3_2015财政决算公开" xfId="3294"/>
    <cellStyle name="20% - 强调文字颜色 1 3 4" xfId="221"/>
    <cellStyle name="20% - 强调文字颜色 1 3 4 2" xfId="3295"/>
    <cellStyle name="20% - 强调文字颜色 1 3 4 2 2" xfId="5077"/>
    <cellStyle name="20% - 强调文字颜色 1 3 4 2 3" xfId="5078"/>
    <cellStyle name="20% - 强调文字颜色 1 3 4 2 3 2" xfId="5079"/>
    <cellStyle name="20% - 强调文字颜色 1 3 5" xfId="2400"/>
    <cellStyle name="20% - 强调文字颜色 1 3 5 2" xfId="5080"/>
    <cellStyle name="20% - 强调文字颜色 1 3 5 3" xfId="5081"/>
    <cellStyle name="20% - 强调文字颜色 1 3 5 3 2" xfId="5082"/>
    <cellStyle name="20% - 强调文字颜色 1 3_2015财政决算公开" xfId="3296"/>
    <cellStyle name="20% - 强调文字颜色 1 4" xfId="492"/>
    <cellStyle name="20% - 强调文字颜色 1 4 2" xfId="298"/>
    <cellStyle name="20% - 强调文字颜色 1 4 2 2" xfId="104"/>
    <cellStyle name="20% - 强调文字颜色 1 4 2 2 2" xfId="3299"/>
    <cellStyle name="20% - 强调文字颜色 1 4 2 2 2 2" xfId="5083"/>
    <cellStyle name="20% - 强调文字颜色 1 4 2 2 2 3" xfId="5084"/>
    <cellStyle name="20% - 强调文字颜色 1 4 2 2 2 3 2" xfId="5085"/>
    <cellStyle name="20% - 强调文字颜色 1 4 2 3" xfId="3298"/>
    <cellStyle name="20% - 强调文字颜色 1 4 2 3 2" xfId="5086"/>
    <cellStyle name="20% - 强调文字颜色 1 4 2 3 3" xfId="5087"/>
    <cellStyle name="20% - 强调文字颜色 1 4 2 3 3 2" xfId="5088"/>
    <cellStyle name="20% - 强调文字颜色 1 4 2_2015财政决算公开" xfId="3300"/>
    <cellStyle name="20% - 强调文字颜色 1 4 3" xfId="301"/>
    <cellStyle name="20% - 强调文字颜色 1 4 3 2" xfId="3301"/>
    <cellStyle name="20% - 强调文字颜色 1 4 3 2 2" xfId="5089"/>
    <cellStyle name="20% - 强调文字颜色 1 4 3 2 3" xfId="5090"/>
    <cellStyle name="20% - 强调文字颜色 1 4 3 2 3 2" xfId="5091"/>
    <cellStyle name="20% - 强调文字颜色 1 4 4" xfId="3297"/>
    <cellStyle name="20% - 强调文字颜色 1 4 4 2" xfId="5092"/>
    <cellStyle name="20% - 强调文字颜色 1 4 4 3" xfId="5093"/>
    <cellStyle name="20% - 强调文字颜色 1 4 4 3 2" xfId="5094"/>
    <cellStyle name="20% - 强调文字颜色 1 4_2015财政决算公开" xfId="3302"/>
    <cellStyle name="20% - 强调文字颜色 1 5" xfId="234"/>
    <cellStyle name="20% - 强调文字颜色 1 5 2" xfId="264"/>
    <cellStyle name="20% - 强调文字颜色 1 5 2 2" xfId="561"/>
    <cellStyle name="20% - 强调文字颜色 1 5 2 2 2" xfId="3305"/>
    <cellStyle name="20% - 强调文字颜色 1 5 2 2 2 2" xfId="5095"/>
    <cellStyle name="20% - 强调文字颜色 1 5 2 2 2 3" xfId="5096"/>
    <cellStyle name="20% - 强调文字颜色 1 5 2 2 2 3 2" xfId="5097"/>
    <cellStyle name="20% - 强调文字颜色 1 5 2 3" xfId="3304"/>
    <cellStyle name="20% - 强调文字颜色 1 5 2 3 2" xfId="5098"/>
    <cellStyle name="20% - 强调文字颜色 1 5 2 3 3" xfId="5099"/>
    <cellStyle name="20% - 强调文字颜色 1 5 2 3 3 2" xfId="5100"/>
    <cellStyle name="20% - 强调文字颜色 1 5 2_2015财政决算公开" xfId="3306"/>
    <cellStyle name="20% - 强调文字颜色 1 5 3" xfId="266"/>
    <cellStyle name="20% - 强调文字颜色 1 5 3 2" xfId="3307"/>
    <cellStyle name="20% - 强调文字颜色 1 5 3 2 2" xfId="5101"/>
    <cellStyle name="20% - 强调文字颜色 1 5 3 2 3" xfId="5102"/>
    <cellStyle name="20% - 强调文字颜色 1 5 3 2 3 2" xfId="5103"/>
    <cellStyle name="20% - 强调文字颜色 1 5 4" xfId="3303"/>
    <cellStyle name="20% - 强调文字颜色 1 5 4 2" xfId="5104"/>
    <cellStyle name="20% - 强调文字颜色 1 5 4 3" xfId="5105"/>
    <cellStyle name="20% - 强调文字颜色 1 5 4 3 2" xfId="5106"/>
    <cellStyle name="20% - 强调文字颜色 1 5_2015财政决算公开" xfId="3308"/>
    <cellStyle name="20% - 强调文字颜色 1 6" xfId="237"/>
    <cellStyle name="20% - 强调文字颜色 1 6 2" xfId="562"/>
    <cellStyle name="20% - 强调文字颜色 1 6 2 2" xfId="3310"/>
    <cellStyle name="20% - 强调文字颜色 1 6 2 2 2" xfId="5107"/>
    <cellStyle name="20% - 强调文字颜色 1 6 2 2 3" xfId="5108"/>
    <cellStyle name="20% - 强调文字颜色 1 6 2 2 3 2" xfId="5109"/>
    <cellStyle name="20% - 强调文字颜色 1 6 3" xfId="3309"/>
    <cellStyle name="20% - 强调文字颜色 1 6 3 2" xfId="5110"/>
    <cellStyle name="20% - 强调文字颜色 1 6 3 3" xfId="5111"/>
    <cellStyle name="20% - 强调文字颜色 1 6 3 3 2" xfId="5112"/>
    <cellStyle name="20% - 强调文字颜色 1 6_2015财政决算公开" xfId="3311"/>
    <cellStyle name="20% - 强调文字颜色 1 7" xfId="242"/>
    <cellStyle name="20% - 强调文字颜色 1 7 2" xfId="3312"/>
    <cellStyle name="20% - 强调文字颜色 1 7 2 2" xfId="5113"/>
    <cellStyle name="20% - 强调文字颜色 1 7 2 3" xfId="5114"/>
    <cellStyle name="20% - 强调文字颜色 1 7 2 3 2" xfId="5115"/>
    <cellStyle name="20% - 强调文字颜色 1 8" xfId="2393"/>
    <cellStyle name="20% - 强调文字颜色 1 8 2" xfId="5116"/>
    <cellStyle name="20% - 强调文字颜色 1 8 3" xfId="5117"/>
    <cellStyle name="20% - 强调文字颜色 1 8 3 2" xfId="5118"/>
    <cellStyle name="20% - 强调文字颜色 1 9" xfId="3270"/>
    <cellStyle name="20% - 强调文字颜色 1 9 2" xfId="5119"/>
    <cellStyle name="20% - 强调文字颜色 1 9 3" xfId="5120"/>
    <cellStyle name="20% - 强调文字颜色 1 9 3 2" xfId="5121"/>
    <cellStyle name="20% - 强调文字颜色 2" xfId="565"/>
    <cellStyle name="20% - 强调文字颜色 2 10" xfId="5122"/>
    <cellStyle name="20% - 强调文字颜色 2 10 2" xfId="5123"/>
    <cellStyle name="20% - 强调文字颜色 2 10 2 2" xfId="5124"/>
    <cellStyle name="20% - 强调文字颜色 2 2" xfId="566"/>
    <cellStyle name="20% - 强调文字颜色 2 2 10" xfId="5125"/>
    <cellStyle name="20% - 强调文字颜色 2 2 10 2" xfId="5126"/>
    <cellStyle name="20% - 强调文字颜色 2 2 10 2 2" xfId="5127"/>
    <cellStyle name="20% - 强调文字颜色 2 2 2" xfId="360"/>
    <cellStyle name="20% - 强调文字颜色 2 2 2 2" xfId="41"/>
    <cellStyle name="20% - 强调文字颜色 2 2 2 2 2" xfId="568"/>
    <cellStyle name="20% - 强调文字颜色 2 2 2 2 2 2" xfId="3315"/>
    <cellStyle name="20% - 强调文字颜色 2 2 2 2 2 2 2" xfId="5128"/>
    <cellStyle name="20% - 强调文字颜色 2 2 2 2 2 2 3" xfId="5129"/>
    <cellStyle name="20% - 强调文字颜色 2 2 2 2 2 2 3 2" xfId="5130"/>
    <cellStyle name="20% - 强调文字颜色 2 2 2 2 3" xfId="2404"/>
    <cellStyle name="20% - 强调文字颜色 2 2 2 2 3 2" xfId="5131"/>
    <cellStyle name="20% - 强调文字颜色 2 2 2 2 3 3" xfId="5132"/>
    <cellStyle name="20% - 强调文字颜色 2 2 2 2 3 3 2" xfId="5133"/>
    <cellStyle name="20% - 强调文字颜色 2 2 2 2_2015财政决算公开" xfId="3316"/>
    <cellStyle name="20% - 强调文字颜色 2 2 2 3" xfId="367"/>
    <cellStyle name="20% - 强调文字颜色 2 2 2 3 2" xfId="2405"/>
    <cellStyle name="20% - 强调文字颜色 2 2 2 3 2 2" xfId="5134"/>
    <cellStyle name="20% - 强调文字颜色 2 2 2 3 2 3" xfId="5135"/>
    <cellStyle name="20% - 强调文字颜色 2 2 2 3 2 3 2" xfId="5136"/>
    <cellStyle name="20% - 强调文字颜色 2 2 2 4" xfId="2403"/>
    <cellStyle name="20% - 强调文字颜色 2 2 2 4 2" xfId="5137"/>
    <cellStyle name="20% - 强调文字颜色 2 2 2 4 3" xfId="5138"/>
    <cellStyle name="20% - 强调文字颜色 2 2 2 4 3 2" xfId="5139"/>
    <cellStyle name="20% - 强调文字颜色 2 2 2_2015财政决算公开" xfId="3317"/>
    <cellStyle name="20% - 强调文字颜色 2 2 3" xfId="369"/>
    <cellStyle name="20% - 强调文字颜色 2 2 3 2" xfId="253"/>
    <cellStyle name="20% - 强调文字颜色 2 2 3 2 2" xfId="570"/>
    <cellStyle name="20% - 强调文字颜色 2 2 3 2 2 2" xfId="3320"/>
    <cellStyle name="20% - 强调文字颜色 2 2 3 2 2 2 2" xfId="5140"/>
    <cellStyle name="20% - 强调文字颜色 2 2 3 2 2 2 3" xfId="5141"/>
    <cellStyle name="20% - 强调文字颜色 2 2 3 2 2 2 3 2" xfId="5142"/>
    <cellStyle name="20% - 强调文字颜色 2 2 3 2 3" xfId="3319"/>
    <cellStyle name="20% - 强调文字颜色 2 2 3 2 3 2" xfId="5143"/>
    <cellStyle name="20% - 强调文字颜色 2 2 3 2 3 3" xfId="5144"/>
    <cellStyle name="20% - 强调文字颜色 2 2 3 2 3 3 2" xfId="5145"/>
    <cellStyle name="20% - 强调文字颜色 2 2 3 2_2015财政决算公开" xfId="3321"/>
    <cellStyle name="20% - 强调文字颜色 2 2 3 3" xfId="259"/>
    <cellStyle name="20% - 强调文字颜色 2 2 3 3 2" xfId="3322"/>
    <cellStyle name="20% - 强调文字颜色 2 2 3 3 2 2" xfId="5146"/>
    <cellStyle name="20% - 强调文字颜色 2 2 3 3 2 3" xfId="5147"/>
    <cellStyle name="20% - 强调文字颜色 2 2 3 3 2 3 2" xfId="5148"/>
    <cellStyle name="20% - 强调文字颜色 2 2 3 4" xfId="2406"/>
    <cellStyle name="20% - 强调文字颜色 2 2 3 4 2" xfId="5149"/>
    <cellStyle name="20% - 强调文字颜色 2 2 3 4 3" xfId="5150"/>
    <cellStyle name="20% - 强调文字颜色 2 2 3 4 3 2" xfId="5151"/>
    <cellStyle name="20% - 强调文字颜色 2 2 3 5" xfId="3318"/>
    <cellStyle name="20% - 强调文字颜色 2 2 3 5 2" xfId="5152"/>
    <cellStyle name="20% - 强调文字颜色 2 2 3 5 3" xfId="5153"/>
    <cellStyle name="20% - 强调文字颜色 2 2 3 5 3 2" xfId="5154"/>
    <cellStyle name="20% - 强调文字颜色 2 2 3_2015财政决算公开" xfId="3323"/>
    <cellStyle name="20% - 强调文字颜色 2 2 4" xfId="373"/>
    <cellStyle name="20% - 强调文字颜色 2 2 4 2" xfId="572"/>
    <cellStyle name="20% - 强调文字颜色 2 2 4 2 2" xfId="3325"/>
    <cellStyle name="20% - 强调文字颜色 2 2 4 2 2 2" xfId="5155"/>
    <cellStyle name="20% - 强调文字颜色 2 2 4 2 2 3" xfId="5156"/>
    <cellStyle name="20% - 强调文字颜色 2 2 4 2 2 3 2" xfId="5157"/>
    <cellStyle name="20% - 强调文字颜色 2 2 4 3" xfId="2407"/>
    <cellStyle name="20% - 强调文字颜色 2 2 4 3 2" xfId="5158"/>
    <cellStyle name="20% - 强调文字颜色 2 2 4 3 3" xfId="5159"/>
    <cellStyle name="20% - 强调文字颜色 2 2 4 3 3 2" xfId="5160"/>
    <cellStyle name="20% - 强调文字颜色 2 2 4 4" xfId="3324"/>
    <cellStyle name="20% - 强调文字颜色 2 2 4 4 2" xfId="5161"/>
    <cellStyle name="20% - 强调文字颜色 2 2 4 4 3" xfId="5162"/>
    <cellStyle name="20% - 强调文字颜色 2 2 4 4 3 2" xfId="5163"/>
    <cellStyle name="20% - 强调文字颜色 2 2 4_2015财政决算公开" xfId="3326"/>
    <cellStyle name="20% - 强调文字颜色 2 2 5" xfId="377"/>
    <cellStyle name="20% - 强调文字颜色 2 2 5 2" xfId="3327"/>
    <cellStyle name="20% - 强调文字颜色 2 2 5 2 2" xfId="5164"/>
    <cellStyle name="20% - 强调文字颜色 2 2 5 2 3" xfId="5165"/>
    <cellStyle name="20% - 强调文字颜色 2 2 5 2 3 2" xfId="5166"/>
    <cellStyle name="20% - 强调文字颜色 2 2 6" xfId="2402"/>
    <cellStyle name="20% - 强调文字颜色 2 2 6 2" xfId="5167"/>
    <cellStyle name="20% - 强调文字颜色 2 2 6 3" xfId="5168"/>
    <cellStyle name="20% - 强调文字颜色 2 2 6 3 2" xfId="5169"/>
    <cellStyle name="20% - 强调文字颜色 2 2 7" xfId="3314"/>
    <cellStyle name="20% - 强调文字颜色 2 2 7 2" xfId="5170"/>
    <cellStyle name="20% - 强调文字颜色 2 2 7 3" xfId="5171"/>
    <cellStyle name="20% - 强调文字颜色 2 2 7 3 2" xfId="5172"/>
    <cellStyle name="20% - 强调文字颜色 2 2 8" xfId="5173"/>
    <cellStyle name="20% - 强调文字颜色 2 2 8 2" xfId="5174"/>
    <cellStyle name="20% - 强调文字颜色 2 2 8 2 2" xfId="5175"/>
    <cellStyle name="20% - 强调文字颜色 2 2 9" xfId="5176"/>
    <cellStyle name="20% - 强调文字颜色 2 2 9 2" xfId="5177"/>
    <cellStyle name="20% - 强调文字颜色 2 2 9 2 2" xfId="5178"/>
    <cellStyle name="20% - 强调文字颜色 2 2_2015财政决算公开" xfId="3328"/>
    <cellStyle name="20% - 强调文字颜色 2 3" xfId="575"/>
    <cellStyle name="20% - 强调文字颜色 2 3 2" xfId="64"/>
    <cellStyle name="20% - 强调文字颜色 2 3 2 2" xfId="576"/>
    <cellStyle name="20% - 强调文字颜色 2 3 2 2 2" xfId="578"/>
    <cellStyle name="20% - 强调文字颜色 2 3 2 2 2 2" xfId="3331"/>
    <cellStyle name="20% - 强调文字颜色 2 3 2 2 2 2 2" xfId="5179"/>
    <cellStyle name="20% - 强调文字颜色 2 3 2 2 2 2 3" xfId="5180"/>
    <cellStyle name="20% - 强调文字颜色 2 3 2 2 2 2 3 2" xfId="5181"/>
    <cellStyle name="20% - 强调文字颜色 2 3 2 2 3" xfId="3330"/>
    <cellStyle name="20% - 强调文字颜色 2 3 2 2 3 2" xfId="5182"/>
    <cellStyle name="20% - 强调文字颜色 2 3 2 2 3 3" xfId="5183"/>
    <cellStyle name="20% - 强调文字颜色 2 3 2 2 3 3 2" xfId="5184"/>
    <cellStyle name="20% - 强调文字颜色 2 3 2 2_2015财政决算公开" xfId="3332"/>
    <cellStyle name="20% - 强调文字颜色 2 3 2 3" xfId="579"/>
    <cellStyle name="20% - 强调文字颜色 2 3 2 3 2" xfId="3333"/>
    <cellStyle name="20% - 强调文字颜色 2 3 2 3 2 2" xfId="5185"/>
    <cellStyle name="20% - 强调文字颜色 2 3 2 3 2 3" xfId="5186"/>
    <cellStyle name="20% - 强调文字颜色 2 3 2 3 2 3 2" xfId="5187"/>
    <cellStyle name="20% - 强调文字颜色 2 3 2 4" xfId="3329"/>
    <cellStyle name="20% - 强调文字颜色 2 3 2 4 2" xfId="5188"/>
    <cellStyle name="20% - 强调文字颜色 2 3 2 4 3" xfId="5189"/>
    <cellStyle name="20% - 强调文字颜色 2 3 2 4 3 2" xfId="5190"/>
    <cellStyle name="20% - 强调文字颜色 2 3 2_2015财政决算公开" xfId="3334"/>
    <cellStyle name="20% - 强调文字颜色 2 3 3" xfId="69"/>
    <cellStyle name="20% - 强调文字颜色 2 3 3 2" xfId="580"/>
    <cellStyle name="20% - 强调文字颜色 2 3 3 2 2" xfId="3336"/>
    <cellStyle name="20% - 强调文字颜色 2 3 3 2 2 2" xfId="5191"/>
    <cellStyle name="20% - 强调文字颜色 2 3 3 2 2 3" xfId="5192"/>
    <cellStyle name="20% - 强调文字颜色 2 3 3 2 2 3 2" xfId="5193"/>
    <cellStyle name="20% - 强调文字颜色 2 3 3 3" xfId="3335"/>
    <cellStyle name="20% - 强调文字颜色 2 3 3 3 2" xfId="5194"/>
    <cellStyle name="20% - 强调文字颜色 2 3 3 3 3" xfId="5195"/>
    <cellStyle name="20% - 强调文字颜色 2 3 3 3 3 2" xfId="5196"/>
    <cellStyle name="20% - 强调文字颜色 2 3 3_2015财政决算公开" xfId="3337"/>
    <cellStyle name="20% - 强调文字颜色 2 3 4" xfId="413"/>
    <cellStyle name="20% - 强调文字颜色 2 3 4 2" xfId="3338"/>
    <cellStyle name="20% - 强调文字颜色 2 3 4 2 2" xfId="5197"/>
    <cellStyle name="20% - 强调文字颜色 2 3 4 2 3" xfId="5198"/>
    <cellStyle name="20% - 强调文字颜色 2 3 4 2 3 2" xfId="5199"/>
    <cellStyle name="20% - 强调文字颜色 2 3 5" xfId="2408"/>
    <cellStyle name="20% - 强调文字颜色 2 3 5 2" xfId="5200"/>
    <cellStyle name="20% - 强调文字颜色 2 3 5 3" xfId="5201"/>
    <cellStyle name="20% - 强调文字颜色 2 3 5 3 2" xfId="5202"/>
    <cellStyle name="20% - 强调文字颜色 2 3_2015财政决算公开" xfId="3339"/>
    <cellStyle name="20% - 强调文字颜色 2 4" xfId="582"/>
    <cellStyle name="20% - 强调文字颜色 2 4 2" xfId="86"/>
    <cellStyle name="20% - 强调文字颜色 2 4 2 2" xfId="564"/>
    <cellStyle name="20% - 强调文字颜色 2 4 2 2 2" xfId="3342"/>
    <cellStyle name="20% - 强调文字颜色 2 4 2 2 2 2" xfId="5203"/>
    <cellStyle name="20% - 强调文字颜色 2 4 2 2 2 3" xfId="5204"/>
    <cellStyle name="20% - 强调文字颜色 2 4 2 2 2 3 2" xfId="5205"/>
    <cellStyle name="20% - 强调文字颜色 2 4 2 3" xfId="3341"/>
    <cellStyle name="20% - 强调文字颜色 2 4 2 3 2" xfId="5206"/>
    <cellStyle name="20% - 强调文字颜色 2 4 2 3 3" xfId="5207"/>
    <cellStyle name="20% - 强调文字颜色 2 4 2 3 3 2" xfId="5208"/>
    <cellStyle name="20% - 强调文字颜色 2 4 2_2015财政决算公开" xfId="3343"/>
    <cellStyle name="20% - 强调文字颜色 2 4 3" xfId="343"/>
    <cellStyle name="20% - 强调文字颜色 2 4 3 2" xfId="3344"/>
    <cellStyle name="20% - 强调文字颜色 2 4 3 2 2" xfId="5209"/>
    <cellStyle name="20% - 强调文字颜色 2 4 3 2 3" xfId="5210"/>
    <cellStyle name="20% - 强调文字颜色 2 4 3 2 3 2" xfId="5211"/>
    <cellStyle name="20% - 强调文字颜色 2 4 4" xfId="3340"/>
    <cellStyle name="20% - 强调文字颜色 2 4 4 2" xfId="5212"/>
    <cellStyle name="20% - 强调文字颜色 2 4 4 3" xfId="5213"/>
    <cellStyle name="20% - 强调文字颜色 2 4 4 3 2" xfId="5214"/>
    <cellStyle name="20% - 强调文字颜色 2 4_2015财政决算公开" xfId="3345"/>
    <cellStyle name="20% - 强调文字颜色 2 5" xfId="31"/>
    <cellStyle name="20% - 强调文字颜色 2 5 2" xfId="93"/>
    <cellStyle name="20% - 强调文字颜色 2 5 2 2" xfId="583"/>
    <cellStyle name="20% - 强调文字颜色 2 5 2 2 2" xfId="3348"/>
    <cellStyle name="20% - 强调文字颜色 2 5 2 2 2 2" xfId="5215"/>
    <cellStyle name="20% - 强调文字颜色 2 5 2 2 2 3" xfId="5216"/>
    <cellStyle name="20% - 强调文字颜色 2 5 2 2 2 3 2" xfId="5217"/>
    <cellStyle name="20% - 强调文字颜色 2 5 2 3" xfId="3347"/>
    <cellStyle name="20% - 强调文字颜色 2 5 2 3 2" xfId="5218"/>
    <cellStyle name="20% - 强调文字颜色 2 5 2 3 3" xfId="5219"/>
    <cellStyle name="20% - 强调文字颜色 2 5 2 3 3 2" xfId="5220"/>
    <cellStyle name="20% - 强调文字颜色 2 5 2_2015财政决算公开" xfId="3349"/>
    <cellStyle name="20% - 强调文字颜色 2 5 3" xfId="97"/>
    <cellStyle name="20% - 强调文字颜色 2 5 3 2" xfId="3350"/>
    <cellStyle name="20% - 强调文字颜色 2 5 3 2 2" xfId="5221"/>
    <cellStyle name="20% - 强调文字颜色 2 5 3 2 3" xfId="5222"/>
    <cellStyle name="20% - 强调文字颜色 2 5 3 2 3 2" xfId="5223"/>
    <cellStyle name="20% - 强调文字颜色 2 5 4" xfId="3346"/>
    <cellStyle name="20% - 强调文字颜色 2 5 4 2" xfId="5224"/>
    <cellStyle name="20% - 强调文字颜色 2 5 4 3" xfId="5225"/>
    <cellStyle name="20% - 强调文字颜色 2 5 4 3 2" xfId="5226"/>
    <cellStyle name="20% - 强调文字颜色 2 5_2015财政决算公开" xfId="3351"/>
    <cellStyle name="20% - 强调文字颜色 2 6" xfId="40"/>
    <cellStyle name="20% - 强调文字颜色 2 6 2" xfId="567"/>
    <cellStyle name="20% - 强调文字颜色 2 6 2 2" xfId="3353"/>
    <cellStyle name="20% - 强调文字颜色 2 6 2 2 2" xfId="5227"/>
    <cellStyle name="20% - 强调文字颜色 2 6 2 2 3" xfId="5228"/>
    <cellStyle name="20% - 强调文字颜色 2 6 2 2 3 2" xfId="5229"/>
    <cellStyle name="20% - 强调文字颜色 2 6 3" xfId="3352"/>
    <cellStyle name="20% - 强调文字颜色 2 6 3 2" xfId="5230"/>
    <cellStyle name="20% - 强调文字颜色 2 6 3 3" xfId="5231"/>
    <cellStyle name="20% - 强调文字颜色 2 6 3 3 2" xfId="5232"/>
    <cellStyle name="20% - 强调文字颜色 2 6_2015财政决算公开" xfId="3354"/>
    <cellStyle name="20% - 强调文字颜色 2 7" xfId="366"/>
    <cellStyle name="20% - 强调文字颜色 2 7 2" xfId="3355"/>
    <cellStyle name="20% - 强调文字颜色 2 7 2 2" xfId="5233"/>
    <cellStyle name="20% - 强调文字颜色 2 7 2 3" xfId="5234"/>
    <cellStyle name="20% - 强调文字颜色 2 7 2 3 2" xfId="5235"/>
    <cellStyle name="20% - 强调文字颜色 2 8" xfId="2401"/>
    <cellStyle name="20% - 强调文字颜色 2 8 2" xfId="5236"/>
    <cellStyle name="20% - 强调文字颜色 2 8 3" xfId="5237"/>
    <cellStyle name="20% - 强调文字颜色 2 8 3 2" xfId="5238"/>
    <cellStyle name="20% - 强调文字颜色 2 9" xfId="3313"/>
    <cellStyle name="20% - 强调文字颜色 2 9 2" xfId="5239"/>
    <cellStyle name="20% - 强调文字颜色 2 9 3" xfId="5240"/>
    <cellStyle name="20% - 强调文字颜色 2 9 3 2" xfId="5241"/>
    <cellStyle name="20% - 强调文字颜色 3" xfId="584"/>
    <cellStyle name="20% - 强调文字颜色 3 10" xfId="5242"/>
    <cellStyle name="20% - 强调文字颜色 3 10 2" xfId="5243"/>
    <cellStyle name="20% - 强调文字颜色 3 10 2 2" xfId="5244"/>
    <cellStyle name="20% - 强调文字颜色 3 2" xfId="586"/>
    <cellStyle name="20% - 强调文字颜色 3 2 10" xfId="5245"/>
    <cellStyle name="20% - 强调文字颜色 3 2 10 2" xfId="5246"/>
    <cellStyle name="20% - 强调文字颜色 3 2 10 2 2" xfId="5247"/>
    <cellStyle name="20% - 强调文字颜色 3 2 2" xfId="443"/>
    <cellStyle name="20% - 强调文字颜色 3 2 2 2" xfId="587"/>
    <cellStyle name="20% - 强调文字颜色 3 2 2 2 2" xfId="588"/>
    <cellStyle name="20% - 强调文字颜色 3 2 2 2 2 2" xfId="3358"/>
    <cellStyle name="20% - 强调文字颜色 3 2 2 2 2 2 2" xfId="5248"/>
    <cellStyle name="20% - 强调文字颜色 3 2 2 2 2 2 3" xfId="5249"/>
    <cellStyle name="20% - 强调文字颜色 3 2 2 2 2 2 3 2" xfId="5250"/>
    <cellStyle name="20% - 强调文字颜色 3 2 2 2 3" xfId="2412"/>
    <cellStyle name="20% - 强调文字颜色 3 2 2 2 3 2" xfId="5251"/>
    <cellStyle name="20% - 强调文字颜色 3 2 2 2 3 3" xfId="5252"/>
    <cellStyle name="20% - 强调文字颜色 3 2 2 2 3 3 2" xfId="5253"/>
    <cellStyle name="20% - 强调文字颜色 3 2 2 2_2015财政决算公开" xfId="3359"/>
    <cellStyle name="20% - 强调文字颜色 3 2 2 3" xfId="589"/>
    <cellStyle name="20% - 强调文字颜色 3 2 2 3 2" xfId="2413"/>
    <cellStyle name="20% - 强调文字颜色 3 2 2 3 2 2" xfId="5254"/>
    <cellStyle name="20% - 强调文字颜色 3 2 2 3 2 3" xfId="5255"/>
    <cellStyle name="20% - 强调文字颜色 3 2 2 3 2 3 2" xfId="5256"/>
    <cellStyle name="20% - 强调文字颜色 3 2 2 4" xfId="2411"/>
    <cellStyle name="20% - 强调文字颜色 3 2 2 4 2" xfId="5257"/>
    <cellStyle name="20% - 强调文字颜色 3 2 2 4 3" xfId="5258"/>
    <cellStyle name="20% - 强调文字颜色 3 2 2 4 3 2" xfId="5259"/>
    <cellStyle name="20% - 强调文字颜色 3 2 2_2015财政决算公开" xfId="3360"/>
    <cellStyle name="20% - 强调文字颜色 3 2 3" xfId="448"/>
    <cellStyle name="20% - 强调文字颜色 3 2 3 2" xfId="592"/>
    <cellStyle name="20% - 强调文字颜色 3 2 3 2 2" xfId="594"/>
    <cellStyle name="20% - 强调文字颜色 3 2 3 2 2 2" xfId="3363"/>
    <cellStyle name="20% - 强调文字颜色 3 2 3 2 2 2 2" xfId="5260"/>
    <cellStyle name="20% - 强调文字颜色 3 2 3 2 2 2 3" xfId="5261"/>
    <cellStyle name="20% - 强调文字颜色 3 2 3 2 2 2 3 2" xfId="5262"/>
    <cellStyle name="20% - 强调文字颜色 3 2 3 2 3" xfId="3362"/>
    <cellStyle name="20% - 强调文字颜色 3 2 3 2 3 2" xfId="5263"/>
    <cellStyle name="20% - 强调文字颜色 3 2 3 2 3 3" xfId="5264"/>
    <cellStyle name="20% - 强调文字颜色 3 2 3 2 3 3 2" xfId="5265"/>
    <cellStyle name="20% - 强调文字颜色 3 2 3 2_2015财政决算公开" xfId="3364"/>
    <cellStyle name="20% - 强调文字颜色 3 2 3 3" xfId="596"/>
    <cellStyle name="20% - 强调文字颜色 3 2 3 3 2" xfId="3365"/>
    <cellStyle name="20% - 强调文字颜色 3 2 3 3 2 2" xfId="5266"/>
    <cellStyle name="20% - 强调文字颜色 3 2 3 3 2 3" xfId="5267"/>
    <cellStyle name="20% - 强调文字颜色 3 2 3 3 2 3 2" xfId="5268"/>
    <cellStyle name="20% - 强调文字颜色 3 2 3 4" xfId="2414"/>
    <cellStyle name="20% - 强调文字颜色 3 2 3 4 2" xfId="5269"/>
    <cellStyle name="20% - 强调文字颜色 3 2 3 4 3" xfId="5270"/>
    <cellStyle name="20% - 强调文字颜色 3 2 3 4 3 2" xfId="5271"/>
    <cellStyle name="20% - 强调文字颜色 3 2 3 5" xfId="3361"/>
    <cellStyle name="20% - 强调文字颜色 3 2 3 5 2" xfId="5272"/>
    <cellStyle name="20% - 强调文字颜色 3 2 3 5 3" xfId="5273"/>
    <cellStyle name="20% - 强调文字颜色 3 2 3 5 3 2" xfId="5274"/>
    <cellStyle name="20% - 强调文字颜色 3 2 3_2015财政决算公开" xfId="3366"/>
    <cellStyle name="20% - 强调文字颜色 3 2 4" xfId="450"/>
    <cellStyle name="20% - 强调文字颜色 3 2 4 2" xfId="597"/>
    <cellStyle name="20% - 强调文字颜色 3 2 4 2 2" xfId="3368"/>
    <cellStyle name="20% - 强调文字颜色 3 2 4 2 2 2" xfId="5275"/>
    <cellStyle name="20% - 强调文字颜色 3 2 4 2 2 3" xfId="5276"/>
    <cellStyle name="20% - 强调文字颜色 3 2 4 2 2 3 2" xfId="5277"/>
    <cellStyle name="20% - 强调文字颜色 3 2 4 3" xfId="2415"/>
    <cellStyle name="20% - 强调文字颜色 3 2 4 3 2" xfId="5278"/>
    <cellStyle name="20% - 强调文字颜色 3 2 4 3 3" xfId="5279"/>
    <cellStyle name="20% - 强调文字颜色 3 2 4 3 3 2" xfId="5280"/>
    <cellStyle name="20% - 强调文字颜色 3 2 4 4" xfId="3367"/>
    <cellStyle name="20% - 强调文字颜色 3 2 4 4 2" xfId="5281"/>
    <cellStyle name="20% - 强调文字颜色 3 2 4 4 3" xfId="5282"/>
    <cellStyle name="20% - 强调文字颜色 3 2 4 4 3 2" xfId="5283"/>
    <cellStyle name="20% - 强调文字颜色 3 2 4_2015财政决算公开" xfId="3369"/>
    <cellStyle name="20% - 强调文字颜色 3 2 5" xfId="474"/>
    <cellStyle name="20% - 强调文字颜色 3 2 5 2" xfId="3370"/>
    <cellStyle name="20% - 强调文字颜色 3 2 5 2 2" xfId="5284"/>
    <cellStyle name="20% - 强调文字颜色 3 2 5 2 3" xfId="5285"/>
    <cellStyle name="20% - 强调文字颜色 3 2 5 2 3 2" xfId="5286"/>
    <cellStyle name="20% - 强调文字颜色 3 2 6" xfId="2410"/>
    <cellStyle name="20% - 强调文字颜色 3 2 6 2" xfId="5287"/>
    <cellStyle name="20% - 强调文字颜色 3 2 6 3" xfId="5288"/>
    <cellStyle name="20% - 强调文字颜色 3 2 6 3 2" xfId="5289"/>
    <cellStyle name="20% - 强调文字颜色 3 2 7" xfId="3357"/>
    <cellStyle name="20% - 强调文字颜色 3 2 7 2" xfId="5290"/>
    <cellStyle name="20% - 强调文字颜色 3 2 7 3" xfId="5291"/>
    <cellStyle name="20% - 强调文字颜色 3 2 7 3 2" xfId="5292"/>
    <cellStyle name="20% - 强调文字颜色 3 2 8" xfId="5293"/>
    <cellStyle name="20% - 强调文字颜色 3 2 8 2" xfId="5294"/>
    <cellStyle name="20% - 强调文字颜色 3 2 8 2 2" xfId="5295"/>
    <cellStyle name="20% - 强调文字颜色 3 2 9" xfId="5296"/>
    <cellStyle name="20% - 强调文字颜色 3 2 9 2" xfId="5297"/>
    <cellStyle name="20% - 强调文字颜色 3 2 9 2 2" xfId="5298"/>
    <cellStyle name="20% - 强调文字颜色 3 2_2015财政决算公开" xfId="3371"/>
    <cellStyle name="20% - 强调文字颜色 3 3" xfId="600"/>
    <cellStyle name="20% - 强调文字颜色 3 3 2" xfId="543"/>
    <cellStyle name="20% - 强调文字颜色 3 3 2 2" xfId="547"/>
    <cellStyle name="20% - 强调文字颜色 3 3 2 2 2" xfId="601"/>
    <cellStyle name="20% - 强调文字颜色 3 3 2 2 2 2" xfId="3374"/>
    <cellStyle name="20% - 强调文字颜色 3 3 2 2 2 2 2" xfId="5299"/>
    <cellStyle name="20% - 强调文字颜色 3 3 2 2 2 2 3" xfId="5300"/>
    <cellStyle name="20% - 强调文字颜色 3 3 2 2 2 2 3 2" xfId="5301"/>
    <cellStyle name="20% - 强调文字颜色 3 3 2 2 3" xfId="3373"/>
    <cellStyle name="20% - 强调文字颜色 3 3 2 2 3 2" xfId="5302"/>
    <cellStyle name="20% - 强调文字颜色 3 3 2 2 3 3" xfId="5303"/>
    <cellStyle name="20% - 强调文字颜色 3 3 2 2 3 3 2" xfId="5304"/>
    <cellStyle name="20% - 强调文字颜色 3 3 2 2_2015财政决算公开" xfId="3375"/>
    <cellStyle name="20% - 强调文字颜色 3 3 2 3" xfId="550"/>
    <cellStyle name="20% - 强调文字颜色 3 3 2 3 2" xfId="3376"/>
    <cellStyle name="20% - 强调文字颜色 3 3 2 3 2 2" xfId="5305"/>
    <cellStyle name="20% - 强调文字颜色 3 3 2 3 2 3" xfId="5306"/>
    <cellStyle name="20% - 强调文字颜色 3 3 2 3 2 3 2" xfId="5307"/>
    <cellStyle name="20% - 强调文字颜色 3 3 2 4" xfId="3372"/>
    <cellStyle name="20% - 强调文字颜色 3 3 2 4 2" xfId="5308"/>
    <cellStyle name="20% - 强调文字颜色 3 3 2 4 3" xfId="5309"/>
    <cellStyle name="20% - 强调文字颜色 3 3 2 4 3 2" xfId="5310"/>
    <cellStyle name="20% - 强调文字颜色 3 3 2_2015财政决算公开" xfId="3377"/>
    <cellStyle name="20% - 强调文字颜色 3 3 3" xfId="602"/>
    <cellStyle name="20% - 强调文字颜色 3 3 3 2" xfId="603"/>
    <cellStyle name="20% - 强调文字颜色 3 3 3 2 2" xfId="3379"/>
    <cellStyle name="20% - 强调文字颜色 3 3 3 2 2 2" xfId="5311"/>
    <cellStyle name="20% - 强调文字颜色 3 3 3 2 2 3" xfId="5312"/>
    <cellStyle name="20% - 强调文字颜色 3 3 3 2 2 3 2" xfId="5313"/>
    <cellStyle name="20% - 强调文字颜色 3 3 3 3" xfId="3378"/>
    <cellStyle name="20% - 强调文字颜色 3 3 3 3 2" xfId="5314"/>
    <cellStyle name="20% - 强调文字颜色 3 3 3 3 3" xfId="5315"/>
    <cellStyle name="20% - 强调文字颜色 3 3 3 3 3 2" xfId="5316"/>
    <cellStyle name="20% - 强调文字颜色 3 3 3_2015财政决算公开" xfId="3380"/>
    <cellStyle name="20% - 强调文字颜色 3 3 4" xfId="604"/>
    <cellStyle name="20% - 强调文字颜色 3 3 4 2" xfId="3381"/>
    <cellStyle name="20% - 强调文字颜色 3 3 4 2 2" xfId="5317"/>
    <cellStyle name="20% - 强调文字颜色 3 3 4 2 3" xfId="5318"/>
    <cellStyle name="20% - 强调文字颜色 3 3 4 2 3 2" xfId="5319"/>
    <cellStyle name="20% - 强调文字颜色 3 3 5" xfId="2416"/>
    <cellStyle name="20% - 强调文字颜色 3 3 5 2" xfId="5320"/>
    <cellStyle name="20% - 强调文字颜色 3 3 5 3" xfId="5321"/>
    <cellStyle name="20% - 强调文字颜色 3 3 5 3 2" xfId="5322"/>
    <cellStyle name="20% - 强调文字颜色 3 3_2015财政决算公开" xfId="3382"/>
    <cellStyle name="20% - 强调文字颜色 3 4" xfId="607"/>
    <cellStyle name="20% - 强调文字颜色 3 4 2" xfId="608"/>
    <cellStyle name="20% - 强调文字颜色 3 4 2 2" xfId="610"/>
    <cellStyle name="20% - 强调文字颜色 3 4 2 2 2" xfId="3385"/>
    <cellStyle name="20% - 强调文字颜色 3 4 2 2 2 2" xfId="5323"/>
    <cellStyle name="20% - 强调文字颜色 3 4 2 2 2 3" xfId="5324"/>
    <cellStyle name="20% - 强调文字颜色 3 4 2 2 2 3 2" xfId="5325"/>
    <cellStyle name="20% - 强调文字颜色 3 4 2 3" xfId="3384"/>
    <cellStyle name="20% - 强调文字颜色 3 4 2 3 2" xfId="5326"/>
    <cellStyle name="20% - 强调文字颜色 3 4 2 3 3" xfId="5327"/>
    <cellStyle name="20% - 强调文字颜色 3 4 2 3 3 2" xfId="5328"/>
    <cellStyle name="20% - 强调文字颜色 3 4 2_2015财政决算公开" xfId="3386"/>
    <cellStyle name="20% - 强调文字颜色 3 4 3" xfId="611"/>
    <cellStyle name="20% - 强调文字颜色 3 4 3 2" xfId="3387"/>
    <cellStyle name="20% - 强调文字颜色 3 4 3 2 2" xfId="5329"/>
    <cellStyle name="20% - 强调文字颜色 3 4 3 2 3" xfId="5330"/>
    <cellStyle name="20% - 强调文字颜色 3 4 3 2 3 2" xfId="5331"/>
    <cellStyle name="20% - 强调文字颜色 3 4 4" xfId="3383"/>
    <cellStyle name="20% - 强调文字颜色 3 4 4 2" xfId="5332"/>
    <cellStyle name="20% - 强调文字颜色 3 4 4 3" xfId="5333"/>
    <cellStyle name="20% - 强调文字颜色 3 4 4 3 2" xfId="5334"/>
    <cellStyle name="20% - 强调文字颜色 3 4_2015财政决算公开" xfId="3388"/>
    <cellStyle name="20% - 强调文字颜色 3 5" xfId="248"/>
    <cellStyle name="20% - 强调文字颜色 3 5 2" xfId="612"/>
    <cellStyle name="20% - 强调文字颜色 3 5 2 2" xfId="613"/>
    <cellStyle name="20% - 强调文字颜色 3 5 2 2 2" xfId="3391"/>
    <cellStyle name="20% - 强调文字颜色 3 5 2 2 2 2" xfId="5335"/>
    <cellStyle name="20% - 强调文字颜色 3 5 2 2 2 3" xfId="5336"/>
    <cellStyle name="20% - 强调文字颜色 3 5 2 2 2 3 2" xfId="5337"/>
    <cellStyle name="20% - 强调文字颜色 3 5 2 3" xfId="3390"/>
    <cellStyle name="20% - 强调文字颜色 3 5 2 3 2" xfId="5338"/>
    <cellStyle name="20% - 强调文字颜色 3 5 2 3 3" xfId="5339"/>
    <cellStyle name="20% - 强调文字颜色 3 5 2 3 3 2" xfId="5340"/>
    <cellStyle name="20% - 强调文字颜色 3 5 2_2015财政决算公开" xfId="3392"/>
    <cellStyle name="20% - 强调文字颜色 3 5 3" xfId="614"/>
    <cellStyle name="20% - 强调文字颜色 3 5 3 2" xfId="3393"/>
    <cellStyle name="20% - 强调文字颜色 3 5 3 2 2" xfId="5341"/>
    <cellStyle name="20% - 强调文字颜色 3 5 3 2 3" xfId="5342"/>
    <cellStyle name="20% - 强调文字颜色 3 5 3 2 3 2" xfId="5343"/>
    <cellStyle name="20% - 强调文字颜色 3 5 4" xfId="3389"/>
    <cellStyle name="20% - 强调文字颜色 3 5 4 2" xfId="5344"/>
    <cellStyle name="20% - 强调文字颜色 3 5 4 3" xfId="5345"/>
    <cellStyle name="20% - 强调文字颜色 3 5 4 3 2" xfId="5346"/>
    <cellStyle name="20% - 强调文字颜色 3 5_2015财政决算公开" xfId="3394"/>
    <cellStyle name="20% - 强调文字颜色 3 6" xfId="252"/>
    <cellStyle name="20% - 强调文字颜色 3 6 2" xfId="569"/>
    <cellStyle name="20% - 强调文字颜色 3 6 2 2" xfId="3396"/>
    <cellStyle name="20% - 强调文字颜色 3 6 2 2 2" xfId="5347"/>
    <cellStyle name="20% - 强调文字颜色 3 6 2 2 3" xfId="5348"/>
    <cellStyle name="20% - 强调文字颜色 3 6 2 2 3 2" xfId="5349"/>
    <cellStyle name="20% - 强调文字颜色 3 6 3" xfId="3395"/>
    <cellStyle name="20% - 强调文字颜色 3 6 3 2" xfId="5350"/>
    <cellStyle name="20% - 强调文字颜色 3 6 3 3" xfId="5351"/>
    <cellStyle name="20% - 强调文字颜色 3 6 3 3 2" xfId="5352"/>
    <cellStyle name="20% - 强调文字颜色 3 6_2015财政决算公开" xfId="3397"/>
    <cellStyle name="20% - 强调文字颜色 3 7" xfId="258"/>
    <cellStyle name="20% - 强调文字颜色 3 7 2" xfId="3398"/>
    <cellStyle name="20% - 强调文字颜色 3 7 2 2" xfId="5353"/>
    <cellStyle name="20% - 强调文字颜色 3 7 2 3" xfId="5354"/>
    <cellStyle name="20% - 强调文字颜色 3 7 2 3 2" xfId="5355"/>
    <cellStyle name="20% - 强调文字颜色 3 8" xfId="2409"/>
    <cellStyle name="20% - 强调文字颜色 3 8 2" xfId="5356"/>
    <cellStyle name="20% - 强调文字颜色 3 8 3" xfId="5357"/>
    <cellStyle name="20% - 强调文字颜色 3 8 3 2" xfId="5358"/>
    <cellStyle name="20% - 强调文字颜色 3 9" xfId="3356"/>
    <cellStyle name="20% - 强调文字颜色 3 9 2" xfId="5359"/>
    <cellStyle name="20% - 强调文字颜色 3 9 3" xfId="5360"/>
    <cellStyle name="20% - 强调文字颜色 3 9 3 2" xfId="5361"/>
    <cellStyle name="20% - 强调文字颜色 4" xfId="616"/>
    <cellStyle name="20% - 强调文字颜色 4 10" xfId="5362"/>
    <cellStyle name="20% - 强调文字颜色 4 10 2" xfId="5363"/>
    <cellStyle name="20% - 强调文字颜色 4 10 2 2" xfId="5364"/>
    <cellStyle name="20% - 强调文字颜色 4 2" xfId="618"/>
    <cellStyle name="20% - 强调文字颜色 4 2 10" xfId="5365"/>
    <cellStyle name="20% - 强调文字颜色 4 2 10 2" xfId="5366"/>
    <cellStyle name="20% - 强调文字颜色 4 2 10 2 2" xfId="5367"/>
    <cellStyle name="20% - 强调文字颜色 4 2 2" xfId="478"/>
    <cellStyle name="20% - 强调文字颜色 4 2 2 2" xfId="605"/>
    <cellStyle name="20% - 强调文字颜色 4 2 2 2 2" xfId="619"/>
    <cellStyle name="20% - 强调文字颜色 4 2 2 2 2 2" xfId="3401"/>
    <cellStyle name="20% - 强调文字颜色 4 2 2 2 2 2 2" xfId="5368"/>
    <cellStyle name="20% - 强调文字颜色 4 2 2 2 2 2 3" xfId="5369"/>
    <cellStyle name="20% - 强调文字颜色 4 2 2 2 2 2 3 2" xfId="5370"/>
    <cellStyle name="20% - 强调文字颜色 4 2 2 2 3" xfId="2420"/>
    <cellStyle name="20% - 强调文字颜色 4 2 2 2 3 2" xfId="5371"/>
    <cellStyle name="20% - 强调文字颜色 4 2 2 2 3 3" xfId="5372"/>
    <cellStyle name="20% - 强调文字颜色 4 2 2 2 3 3 2" xfId="5373"/>
    <cellStyle name="20% - 强调文字颜色 4 2 2 2_2015财政决算公开" xfId="3402"/>
    <cellStyle name="20% - 强调文字颜色 4 2 2 3" xfId="620"/>
    <cellStyle name="20% - 强调文字颜色 4 2 2 3 2" xfId="2421"/>
    <cellStyle name="20% - 强调文字颜色 4 2 2 3 2 2" xfId="5374"/>
    <cellStyle name="20% - 强调文字颜色 4 2 2 3 2 3" xfId="5375"/>
    <cellStyle name="20% - 强调文字颜色 4 2 2 3 2 3 2" xfId="5376"/>
    <cellStyle name="20% - 强调文字颜色 4 2 2 4" xfId="2419"/>
    <cellStyle name="20% - 强调文字颜色 4 2 2 4 2" xfId="5377"/>
    <cellStyle name="20% - 强调文字颜色 4 2 2 4 3" xfId="5378"/>
    <cellStyle name="20% - 强调文字颜色 4 2 2 4 3 2" xfId="5379"/>
    <cellStyle name="20% - 强调文字颜色 4 2 2_2015财政决算公开" xfId="3403"/>
    <cellStyle name="20% - 强调文字颜色 4 2 3" xfId="481"/>
    <cellStyle name="20% - 强调文字颜色 4 2 3 2" xfId="621"/>
    <cellStyle name="20% - 强调文字颜色 4 2 3 2 2" xfId="622"/>
    <cellStyle name="20% - 强调文字颜色 4 2 3 2 2 2" xfId="3406"/>
    <cellStyle name="20% - 强调文字颜色 4 2 3 2 2 2 2" xfId="5380"/>
    <cellStyle name="20% - 强调文字颜色 4 2 3 2 2 2 3" xfId="5381"/>
    <cellStyle name="20% - 强调文字颜色 4 2 3 2 2 2 3 2" xfId="5382"/>
    <cellStyle name="20% - 强调文字颜色 4 2 3 2 3" xfId="3405"/>
    <cellStyle name="20% - 强调文字颜色 4 2 3 2 3 2" xfId="5383"/>
    <cellStyle name="20% - 强调文字颜色 4 2 3 2 3 3" xfId="5384"/>
    <cellStyle name="20% - 强调文字颜色 4 2 3 2 3 3 2" xfId="5385"/>
    <cellStyle name="20% - 强调文字颜色 4 2 3 2_2015财政决算公开" xfId="3407"/>
    <cellStyle name="20% - 强调文字颜色 4 2 3 3" xfId="623"/>
    <cellStyle name="20% - 强调文字颜色 4 2 3 3 2" xfId="3408"/>
    <cellStyle name="20% - 强调文字颜色 4 2 3 3 2 2" xfId="5386"/>
    <cellStyle name="20% - 强调文字颜色 4 2 3 3 2 3" xfId="5387"/>
    <cellStyle name="20% - 强调文字颜色 4 2 3 3 2 3 2" xfId="5388"/>
    <cellStyle name="20% - 强调文字颜色 4 2 3 4" xfId="2422"/>
    <cellStyle name="20% - 强调文字颜色 4 2 3 4 2" xfId="5389"/>
    <cellStyle name="20% - 强调文字颜色 4 2 3 4 3" xfId="5390"/>
    <cellStyle name="20% - 强调文字颜色 4 2 3 4 3 2" xfId="5391"/>
    <cellStyle name="20% - 强调文字颜色 4 2 3 5" xfId="3404"/>
    <cellStyle name="20% - 强调文字颜色 4 2 3 5 2" xfId="5392"/>
    <cellStyle name="20% - 强调文字颜色 4 2 3 5 3" xfId="5393"/>
    <cellStyle name="20% - 强调文字颜色 4 2 3 5 3 2" xfId="5394"/>
    <cellStyle name="20% - 强调文字颜色 4 2 3_2015财政决算公开" xfId="3409"/>
    <cellStyle name="20% - 强调文字颜色 4 2 4" xfId="483"/>
    <cellStyle name="20% - 强调文字颜色 4 2 4 2" xfId="6"/>
    <cellStyle name="20% - 强调文字颜色 4 2 4 2 2" xfId="3411"/>
    <cellStyle name="20% - 强调文字颜色 4 2 4 2 2 2" xfId="5395"/>
    <cellStyle name="20% - 强调文字颜色 4 2 4 2 2 3" xfId="5396"/>
    <cellStyle name="20% - 强调文字颜色 4 2 4 2 2 3 2" xfId="5397"/>
    <cellStyle name="20% - 强调文字颜色 4 2 4 3" xfId="2423"/>
    <cellStyle name="20% - 强调文字颜色 4 2 4 3 2" xfId="5398"/>
    <cellStyle name="20% - 强调文字颜色 4 2 4 3 3" xfId="5399"/>
    <cellStyle name="20% - 强调文字颜色 4 2 4 3 3 2" xfId="5400"/>
    <cellStyle name="20% - 强调文字颜色 4 2 4 4" xfId="3410"/>
    <cellStyle name="20% - 强调文字颜色 4 2 4 4 2" xfId="5401"/>
    <cellStyle name="20% - 强调文字颜色 4 2 4 4 3" xfId="5402"/>
    <cellStyle name="20% - 强调文字颜色 4 2 4 4 3 2" xfId="5403"/>
    <cellStyle name="20% - 强调文字颜色 4 2 4_2015财政决算公开" xfId="3412"/>
    <cellStyle name="20% - 强调文字颜色 4 2 5" xfId="624"/>
    <cellStyle name="20% - 强调文字颜色 4 2 5 2" xfId="3413"/>
    <cellStyle name="20% - 强调文字颜色 4 2 5 2 2" xfId="5404"/>
    <cellStyle name="20% - 强调文字颜色 4 2 5 2 3" xfId="5405"/>
    <cellStyle name="20% - 强调文字颜色 4 2 5 2 3 2" xfId="5406"/>
    <cellStyle name="20% - 强调文字颜色 4 2 6" xfId="2418"/>
    <cellStyle name="20% - 强调文字颜色 4 2 6 2" xfId="5407"/>
    <cellStyle name="20% - 强调文字颜色 4 2 6 3" xfId="5408"/>
    <cellStyle name="20% - 强调文字颜色 4 2 6 3 2" xfId="5409"/>
    <cellStyle name="20% - 强调文字颜色 4 2 7" xfId="3400"/>
    <cellStyle name="20% - 强调文字颜色 4 2 7 2" xfId="5410"/>
    <cellStyle name="20% - 强调文字颜色 4 2 7 3" xfId="5411"/>
    <cellStyle name="20% - 强调文字颜色 4 2 7 3 2" xfId="5412"/>
    <cellStyle name="20% - 强调文字颜色 4 2 8" xfId="5413"/>
    <cellStyle name="20% - 强调文字颜色 4 2 8 2" xfId="5414"/>
    <cellStyle name="20% - 强调文字颜色 4 2 8 2 2" xfId="5415"/>
    <cellStyle name="20% - 强调文字颜色 4 2 9" xfId="5416"/>
    <cellStyle name="20% - 强调文字颜色 4 2 9 2" xfId="5417"/>
    <cellStyle name="20% - 强调文字颜色 4 2 9 2 2" xfId="5418"/>
    <cellStyle name="20% - 强调文字颜色 4 2_2015财政决算公开" xfId="3414"/>
    <cellStyle name="20% - 强调文字颜色 4 3" xfId="625"/>
    <cellStyle name="20% - 强调文字颜色 4 3 2" xfId="127"/>
    <cellStyle name="20% - 强调文字颜色 4 3 2 2" xfId="626"/>
    <cellStyle name="20% - 强调文字颜色 4 3 2 2 2" xfId="628"/>
    <cellStyle name="20% - 强调文字颜色 4 3 2 2 2 2" xfId="3417"/>
    <cellStyle name="20% - 强调文字颜色 4 3 2 2 2 2 2" xfId="5419"/>
    <cellStyle name="20% - 强调文字颜色 4 3 2 2 2 2 3" xfId="5420"/>
    <cellStyle name="20% - 强调文字颜色 4 3 2 2 2 2 3 2" xfId="5421"/>
    <cellStyle name="20% - 强调文字颜色 4 3 2 2 3" xfId="3416"/>
    <cellStyle name="20% - 强调文字颜色 4 3 2 2 3 2" xfId="5422"/>
    <cellStyle name="20% - 强调文字颜色 4 3 2 2 3 3" xfId="5423"/>
    <cellStyle name="20% - 强调文字颜色 4 3 2 2 3 3 2" xfId="5424"/>
    <cellStyle name="20% - 强调文字颜色 4 3 2 2_2015财政决算公开" xfId="3418"/>
    <cellStyle name="20% - 强调文字颜色 4 3 2 3" xfId="629"/>
    <cellStyle name="20% - 强调文字颜色 4 3 2 3 2" xfId="3419"/>
    <cellStyle name="20% - 强调文字颜色 4 3 2 3 2 2" xfId="5425"/>
    <cellStyle name="20% - 强调文字颜色 4 3 2 3 2 3" xfId="5426"/>
    <cellStyle name="20% - 强调文字颜色 4 3 2 3 2 3 2" xfId="5427"/>
    <cellStyle name="20% - 强调文字颜色 4 3 2 4" xfId="3415"/>
    <cellStyle name="20% - 强调文字颜色 4 3 2 4 2" xfId="5428"/>
    <cellStyle name="20% - 强调文字颜色 4 3 2 4 3" xfId="5429"/>
    <cellStyle name="20% - 强调文字颜色 4 3 2 4 3 2" xfId="5430"/>
    <cellStyle name="20% - 强调文字颜色 4 3 2_2015财政决算公开" xfId="3420"/>
    <cellStyle name="20% - 强调文字颜色 4 3 3" xfId="630"/>
    <cellStyle name="20% - 强调文字颜色 4 3 3 2" xfId="631"/>
    <cellStyle name="20% - 强调文字颜色 4 3 3 2 2" xfId="3422"/>
    <cellStyle name="20% - 强调文字颜色 4 3 3 2 2 2" xfId="5431"/>
    <cellStyle name="20% - 强调文字颜色 4 3 3 2 2 3" xfId="5432"/>
    <cellStyle name="20% - 强调文字颜色 4 3 3 2 2 3 2" xfId="5433"/>
    <cellStyle name="20% - 强调文字颜色 4 3 3 3" xfId="3421"/>
    <cellStyle name="20% - 强调文字颜色 4 3 3 3 2" xfId="5434"/>
    <cellStyle name="20% - 强调文字颜色 4 3 3 3 3" xfId="5435"/>
    <cellStyle name="20% - 强调文字颜色 4 3 3 3 3 2" xfId="5436"/>
    <cellStyle name="20% - 强调文字颜色 4 3 3_2015财政决算公开" xfId="3423"/>
    <cellStyle name="20% - 强调文字颜色 4 3 4" xfId="627"/>
    <cellStyle name="20% - 强调文字颜色 4 3 4 2" xfId="3424"/>
    <cellStyle name="20% - 强调文字颜色 4 3 4 2 2" xfId="5437"/>
    <cellStyle name="20% - 强调文字颜色 4 3 4 2 3" xfId="5438"/>
    <cellStyle name="20% - 强调文字颜色 4 3 4 2 3 2" xfId="5439"/>
    <cellStyle name="20% - 强调文字颜色 4 3 5" xfId="2424"/>
    <cellStyle name="20% - 强调文字颜色 4 3 5 2" xfId="5440"/>
    <cellStyle name="20% - 强调文字颜色 4 3 5 3" xfId="5441"/>
    <cellStyle name="20% - 强调文字颜色 4 3 5 3 2" xfId="5442"/>
    <cellStyle name="20% - 强调文字颜色 4 3_2015财政决算公开" xfId="3425"/>
    <cellStyle name="20% - 强调文字颜色 4 4" xfId="632"/>
    <cellStyle name="20% - 强调文字颜色 4 4 2" xfId="633"/>
    <cellStyle name="20% - 强调文字颜色 4 4 2 2" xfId="634"/>
    <cellStyle name="20% - 强调文字颜色 4 4 2 2 2" xfId="3428"/>
    <cellStyle name="20% - 强调文字颜色 4 4 2 2 2 2" xfId="5443"/>
    <cellStyle name="20% - 强调文字颜色 4 4 2 2 2 3" xfId="5444"/>
    <cellStyle name="20% - 强调文字颜色 4 4 2 2 2 3 2" xfId="5445"/>
    <cellStyle name="20% - 强调文字颜色 4 4 2 3" xfId="3427"/>
    <cellStyle name="20% - 强调文字颜色 4 4 2 3 2" xfId="5446"/>
    <cellStyle name="20% - 强调文字颜色 4 4 2 3 3" xfId="5447"/>
    <cellStyle name="20% - 强调文字颜色 4 4 2 3 3 2" xfId="5448"/>
    <cellStyle name="20% - 强调文字颜色 4 4 2_2015财政决算公开" xfId="3429"/>
    <cellStyle name="20% - 强调文字颜色 4 4 3" xfId="636"/>
    <cellStyle name="20% - 强调文字颜色 4 4 3 2" xfId="3430"/>
    <cellStyle name="20% - 强调文字颜色 4 4 3 2 2" xfId="5449"/>
    <cellStyle name="20% - 强调文字颜色 4 4 3 2 3" xfId="5450"/>
    <cellStyle name="20% - 强调文字颜色 4 4 3 2 3 2" xfId="5451"/>
    <cellStyle name="20% - 强调文字颜色 4 4 4" xfId="3426"/>
    <cellStyle name="20% - 强调文字颜色 4 4 4 2" xfId="5452"/>
    <cellStyle name="20% - 强调文字颜色 4 4 4 3" xfId="5453"/>
    <cellStyle name="20% - 强调文字颜色 4 4 4 3 2" xfId="5454"/>
    <cellStyle name="20% - 强调文字颜色 4 4_2015财政决算公开" xfId="3431"/>
    <cellStyle name="20% - 强调文字颜色 4 5" xfId="637"/>
    <cellStyle name="20% - 强调文字颜色 4 5 2" xfId="638"/>
    <cellStyle name="20% - 强调文字颜色 4 5 2 2" xfId="639"/>
    <cellStyle name="20% - 强调文字颜色 4 5 2 2 2" xfId="3434"/>
    <cellStyle name="20% - 强调文字颜色 4 5 2 2 2 2" xfId="5455"/>
    <cellStyle name="20% - 强调文字颜色 4 5 2 2 2 3" xfId="5456"/>
    <cellStyle name="20% - 强调文字颜色 4 5 2 2 2 3 2" xfId="5457"/>
    <cellStyle name="20% - 强调文字颜色 4 5 2 3" xfId="3433"/>
    <cellStyle name="20% - 强调文字颜色 4 5 2 3 2" xfId="5458"/>
    <cellStyle name="20% - 强调文字颜色 4 5 2 3 3" xfId="5459"/>
    <cellStyle name="20% - 强调文字颜色 4 5 2 3 3 2" xfId="5460"/>
    <cellStyle name="20% - 强调文字颜色 4 5 2_2015财政决算公开" xfId="3435"/>
    <cellStyle name="20% - 强调文字颜色 4 5 3" xfId="641"/>
    <cellStyle name="20% - 强调文字颜色 4 5 3 2" xfId="3436"/>
    <cellStyle name="20% - 强调文字颜色 4 5 3 2 2" xfId="5461"/>
    <cellStyle name="20% - 强调文字颜色 4 5 3 2 3" xfId="5462"/>
    <cellStyle name="20% - 强调文字颜色 4 5 3 2 3 2" xfId="5463"/>
    <cellStyle name="20% - 强调文字颜色 4 5 4" xfId="3432"/>
    <cellStyle name="20% - 强调文字颜色 4 5 4 2" xfId="5464"/>
    <cellStyle name="20% - 强调文字颜色 4 5 4 3" xfId="5465"/>
    <cellStyle name="20% - 强调文字颜色 4 5 4 3 2" xfId="5466"/>
    <cellStyle name="20% - 强调文字颜色 4 5_2015财政决算公开" xfId="3437"/>
    <cellStyle name="20% - 强调文字颜色 4 6" xfId="571"/>
    <cellStyle name="20% - 强调文字颜色 4 6 2" xfId="643"/>
    <cellStyle name="20% - 强调文字颜色 4 6 2 2" xfId="3439"/>
    <cellStyle name="20% - 强调文字颜色 4 6 2 2 2" xfId="5467"/>
    <cellStyle name="20% - 强调文字颜色 4 6 2 2 3" xfId="5468"/>
    <cellStyle name="20% - 强调文字颜色 4 6 2 2 3 2" xfId="5469"/>
    <cellStyle name="20% - 强调文字颜色 4 6 3" xfId="3438"/>
    <cellStyle name="20% - 强调文字颜色 4 6 3 2" xfId="5470"/>
    <cellStyle name="20% - 强调文字颜色 4 6 3 3" xfId="5471"/>
    <cellStyle name="20% - 强调文字颜色 4 6 3 3 2" xfId="5472"/>
    <cellStyle name="20% - 强调文字颜色 4 6_2015财政决算公开" xfId="3440"/>
    <cellStyle name="20% - 强调文字颜色 4 7" xfId="644"/>
    <cellStyle name="20% - 强调文字颜色 4 7 2" xfId="3441"/>
    <cellStyle name="20% - 强调文字颜色 4 7 2 2" xfId="5473"/>
    <cellStyle name="20% - 强调文字颜色 4 7 2 3" xfId="5474"/>
    <cellStyle name="20% - 强调文字颜色 4 7 2 3 2" xfId="5475"/>
    <cellStyle name="20% - 强调文字颜色 4 8" xfId="2417"/>
    <cellStyle name="20% - 强调文字颜色 4 8 2" xfId="5476"/>
    <cellStyle name="20% - 强调文字颜色 4 8 3" xfId="5477"/>
    <cellStyle name="20% - 强调文字颜色 4 8 3 2" xfId="5478"/>
    <cellStyle name="20% - 强调文字颜色 4 9" xfId="3399"/>
    <cellStyle name="20% - 强调文字颜色 4 9 2" xfId="5479"/>
    <cellStyle name="20% - 强调文字颜色 4 9 3" xfId="5480"/>
    <cellStyle name="20% - 强调文字颜色 4 9 3 2" xfId="5481"/>
    <cellStyle name="20% - 强调文字颜色 5" xfId="646"/>
    <cellStyle name="20% - 强调文字颜色 5 2" xfId="115"/>
    <cellStyle name="20% - 强调文字颜色 5 2 2" xfId="647"/>
    <cellStyle name="20% - 强调文字颜色 5 2 2 2" xfId="312"/>
    <cellStyle name="20% - 强调文字颜色 5 2 2 2 2" xfId="649"/>
    <cellStyle name="20% - 强调文字颜色 5 2 2 2 2 2" xfId="3442"/>
    <cellStyle name="20% - 强调文字颜色 5 2 2 2 2 2 2" xfId="5482"/>
    <cellStyle name="20% - 强调文字颜色 5 2 2 2 2 2 3" xfId="5483"/>
    <cellStyle name="20% - 强调文字颜色 5 2 2 2 2 2 3 2" xfId="5484"/>
    <cellStyle name="20% - 强调文字颜色 5 2 2 2 3" xfId="2428"/>
    <cellStyle name="20% - 强调文字颜色 5 2 2 2 3 2" xfId="5485"/>
    <cellStyle name="20% - 强调文字颜色 5 2 2 2 3 3" xfId="5486"/>
    <cellStyle name="20% - 强调文字颜色 5 2 2 2 3 3 2" xfId="5487"/>
    <cellStyle name="20% - 强调文字颜色 5 2 2 2_2015财政决算公开" xfId="3443"/>
    <cellStyle name="20% - 强调文字颜色 5 2 2 3" xfId="650"/>
    <cellStyle name="20% - 强调文字颜色 5 2 2 3 2" xfId="2429"/>
    <cellStyle name="20% - 强调文字颜色 5 2 2 3 2 2" xfId="5488"/>
    <cellStyle name="20% - 强调文字颜色 5 2 2 3 2 3" xfId="5489"/>
    <cellStyle name="20% - 强调文字颜色 5 2 2 3 2 3 2" xfId="5490"/>
    <cellStyle name="20% - 强调文字颜色 5 2 2 4" xfId="2427"/>
    <cellStyle name="20% - 强调文字颜色 5 2 2 4 2" xfId="5491"/>
    <cellStyle name="20% - 强调文字颜色 5 2 2 4 3" xfId="5492"/>
    <cellStyle name="20% - 强调文字颜色 5 2 2 4 3 2" xfId="5493"/>
    <cellStyle name="20% - 强调文字颜色 5 2 2_2015财政决算公开" xfId="3444"/>
    <cellStyle name="20% - 强调文字颜色 5 2 3" xfId="651"/>
    <cellStyle name="20% - 强调文字颜色 5 2 3 2" xfId="494"/>
    <cellStyle name="20% - 强调文字颜色 5 2 3 2 2" xfId="3445"/>
    <cellStyle name="20% - 强调文字颜色 5 2 3 2 2 2" xfId="5494"/>
    <cellStyle name="20% - 强调文字颜色 5 2 3 2 2 3" xfId="5495"/>
    <cellStyle name="20% - 强调文字颜色 5 2 3 2 2 3 2" xfId="5496"/>
    <cellStyle name="20% - 强调文字颜色 5 2 3 3" xfId="2430"/>
    <cellStyle name="20% - 强调文字颜色 5 2 3 3 2" xfId="5497"/>
    <cellStyle name="20% - 强调文字颜色 5 2 3 3 3" xfId="5498"/>
    <cellStyle name="20% - 强调文字颜色 5 2 3 3 3 2" xfId="5499"/>
    <cellStyle name="20% - 强调文字颜色 5 2 3_2015财政决算公开" xfId="3446"/>
    <cellStyle name="20% - 强调文字颜色 5 2 4" xfId="652"/>
    <cellStyle name="20% - 强调文字颜色 5 2 4 2" xfId="2431"/>
    <cellStyle name="20% - 强调文字颜色 5 2 4 2 2" xfId="5500"/>
    <cellStyle name="20% - 强调文字颜色 5 2 4 2 3" xfId="5501"/>
    <cellStyle name="20% - 强调文字颜色 5 2 4 2 3 2" xfId="5502"/>
    <cellStyle name="20% - 强调文字颜色 5 2 5" xfId="2426"/>
    <cellStyle name="20% - 强调文字颜色 5 2 5 2" xfId="5503"/>
    <cellStyle name="20% - 强调文字颜色 5 2 5 3" xfId="5504"/>
    <cellStyle name="20% - 强调文字颜色 5 2 5 3 2" xfId="5505"/>
    <cellStyle name="20% - 强调文字颜色 5 2_2015财政决算公开" xfId="3447"/>
    <cellStyle name="20% - 强调文字颜色 5 3" xfId="653"/>
    <cellStyle name="20% - 强调文字颜色 5 3 2" xfId="441"/>
    <cellStyle name="20% - 强调文字颜色 5 3 2 2" xfId="654"/>
    <cellStyle name="20% - 强调文字颜色 5 3 2 2 2" xfId="8"/>
    <cellStyle name="20% - 强调文字颜色 5 3 2 2 2 2" xfId="3450"/>
    <cellStyle name="20% - 强调文字颜色 5 3 2 2 2 2 2" xfId="5506"/>
    <cellStyle name="20% - 强调文字颜色 5 3 2 2 2 2 3" xfId="5507"/>
    <cellStyle name="20% - 强调文字颜色 5 3 2 2 2 2 3 2" xfId="5508"/>
    <cellStyle name="20% - 强调文字颜色 5 3 2 2 3" xfId="3449"/>
    <cellStyle name="20% - 强调文字颜色 5 3 2 2 3 2" xfId="5509"/>
    <cellStyle name="20% - 强调文字颜色 5 3 2 2 3 3" xfId="5510"/>
    <cellStyle name="20% - 强调文字颜色 5 3 2 2 3 3 2" xfId="5511"/>
    <cellStyle name="20% - 强调文字颜色 5 3 2 2_2015财政决算公开" xfId="3451"/>
    <cellStyle name="20% - 强调文字颜色 5 3 2 3" xfId="648"/>
    <cellStyle name="20% - 强调文字颜色 5 3 2 3 2" xfId="3452"/>
    <cellStyle name="20% - 强调文字颜色 5 3 2 3 2 2" xfId="5512"/>
    <cellStyle name="20% - 强调文字颜色 5 3 2 3 2 3" xfId="5513"/>
    <cellStyle name="20% - 强调文字颜色 5 3 2 3 2 3 2" xfId="5514"/>
    <cellStyle name="20% - 强调文字颜色 5 3 2 4" xfId="3448"/>
    <cellStyle name="20% - 强调文字颜色 5 3 2 4 2" xfId="5515"/>
    <cellStyle name="20% - 强调文字颜色 5 3 2 4 3" xfId="5516"/>
    <cellStyle name="20% - 强调文字颜色 5 3 2 4 3 2" xfId="5517"/>
    <cellStyle name="20% - 强调文字颜色 5 3 2_2015财政决算公开" xfId="3453"/>
    <cellStyle name="20% - 强调文字颜色 5 3 3" xfId="577"/>
    <cellStyle name="20% - 强调文字颜色 5 3 3 2" xfId="655"/>
    <cellStyle name="20% - 强调文字颜色 5 3 3 2 2" xfId="3455"/>
    <cellStyle name="20% - 强调文字颜色 5 3 3 2 2 2" xfId="5518"/>
    <cellStyle name="20% - 强调文字颜色 5 3 3 2 2 3" xfId="5519"/>
    <cellStyle name="20% - 强调文字颜色 5 3 3 2 2 3 2" xfId="5520"/>
    <cellStyle name="20% - 强调文字颜色 5 3 3 3" xfId="3454"/>
    <cellStyle name="20% - 强调文字颜色 5 3 3 3 2" xfId="5521"/>
    <cellStyle name="20% - 强调文字颜色 5 3 3 3 3" xfId="5522"/>
    <cellStyle name="20% - 强调文字颜色 5 3 3 3 3 2" xfId="5523"/>
    <cellStyle name="20% - 强调文字颜色 5 3 3_2015财政决算公开" xfId="3456"/>
    <cellStyle name="20% - 强调文字颜色 5 3 4" xfId="635"/>
    <cellStyle name="20% - 强调文字颜色 5 3 4 2" xfId="3457"/>
    <cellStyle name="20% - 强调文字颜色 5 3 4 2 2" xfId="5524"/>
    <cellStyle name="20% - 强调文字颜色 5 3 4 2 3" xfId="5525"/>
    <cellStyle name="20% - 强调文字颜色 5 3 4 2 3 2" xfId="5526"/>
    <cellStyle name="20% - 强调文字颜色 5 3 5" xfId="2432"/>
    <cellStyle name="20% - 强调文字颜色 5 3 5 2" xfId="5527"/>
    <cellStyle name="20% - 强调文字颜色 5 3 5 3" xfId="5528"/>
    <cellStyle name="20% - 强调文字颜色 5 3 5 3 2" xfId="5529"/>
    <cellStyle name="20% - 强调文字颜色 5 3_2015财政决算公开" xfId="3458"/>
    <cellStyle name="20% - 强调文字颜色 5 4" xfId="656"/>
    <cellStyle name="20% - 强调文字颜色 5 4 2" xfId="657"/>
    <cellStyle name="20% - 强调文字颜色 5 4 2 2" xfId="573"/>
    <cellStyle name="20% - 强调文字颜色 5 4 2 2 2" xfId="3461"/>
    <cellStyle name="20% - 强调文字颜色 5 4 2 2 2 2" xfId="5530"/>
    <cellStyle name="20% - 强调文字颜色 5 4 2 2 2 3" xfId="5531"/>
    <cellStyle name="20% - 强调文字颜色 5 4 2 2 2 3 2" xfId="5532"/>
    <cellStyle name="20% - 强调文字颜色 5 4 2 3" xfId="3460"/>
    <cellStyle name="20% - 强调文字颜色 5 4 2 3 2" xfId="5533"/>
    <cellStyle name="20% - 强调文字颜色 5 4 2 3 3" xfId="5534"/>
    <cellStyle name="20% - 强调文字颜色 5 4 2 3 3 2" xfId="5535"/>
    <cellStyle name="20% - 强调文字颜色 5 4 2_2015财政决算公开" xfId="3462"/>
    <cellStyle name="20% - 强调文字颜色 5 4 3" xfId="658"/>
    <cellStyle name="20% - 强调文字颜色 5 4 3 2" xfId="3463"/>
    <cellStyle name="20% - 强调文字颜色 5 4 3 2 2" xfId="5536"/>
    <cellStyle name="20% - 强调文字颜色 5 4 3 2 3" xfId="5537"/>
    <cellStyle name="20% - 强调文字颜色 5 4 3 2 3 2" xfId="5538"/>
    <cellStyle name="20% - 强调文字颜色 5 4 4" xfId="3459"/>
    <cellStyle name="20% - 强调文字颜色 5 4 4 2" xfId="5539"/>
    <cellStyle name="20% - 强调文字颜色 5 4 4 3" xfId="5540"/>
    <cellStyle name="20% - 强调文字颜色 5 4 4 3 2" xfId="5541"/>
    <cellStyle name="20% - 强调文字颜色 5 4_2015财政决算公开" xfId="3464"/>
    <cellStyle name="20% - 强调文字颜色 5 5" xfId="559"/>
    <cellStyle name="20% - 强调文字颜色 5 5 2" xfId="659"/>
    <cellStyle name="20% - 强调文字颜色 5 5 2 2" xfId="660"/>
    <cellStyle name="20% - 强调文字颜色 5 5 2 2 2" xfId="3467"/>
    <cellStyle name="20% - 强调文字颜色 5 5 2 2 2 2" xfId="5542"/>
    <cellStyle name="20% - 强调文字颜色 5 5 2 2 2 3" xfId="5543"/>
    <cellStyle name="20% - 强调文字颜色 5 5 2 2 2 3 2" xfId="5544"/>
    <cellStyle name="20% - 强调文字颜色 5 5 2 3" xfId="3466"/>
    <cellStyle name="20% - 强调文字颜色 5 5 2 3 2" xfId="5545"/>
    <cellStyle name="20% - 强调文字颜色 5 5 2 3 3" xfId="5546"/>
    <cellStyle name="20% - 强调文字颜色 5 5 2 3 3 2" xfId="5547"/>
    <cellStyle name="20% - 强调文字颜色 5 5 2_2015财政决算公开" xfId="3468"/>
    <cellStyle name="20% - 强调文字颜色 5 5 3" xfId="661"/>
    <cellStyle name="20% - 强调文字颜色 5 5 3 2" xfId="3469"/>
    <cellStyle name="20% - 强调文字颜色 5 5 3 2 2" xfId="5548"/>
    <cellStyle name="20% - 强调文字颜色 5 5 3 2 3" xfId="5549"/>
    <cellStyle name="20% - 强调文字颜色 5 5 3 2 3 2" xfId="5550"/>
    <cellStyle name="20% - 强调文字颜色 5 5 4" xfId="3465"/>
    <cellStyle name="20% - 强调文字颜色 5 5 4 2" xfId="5551"/>
    <cellStyle name="20% - 强调文字颜色 5 5 4 3" xfId="5552"/>
    <cellStyle name="20% - 强调文字颜色 5 5 4 3 2" xfId="5553"/>
    <cellStyle name="20% - 强调文字颜色 5 5_2015财政决算公开" xfId="3470"/>
    <cellStyle name="20% - 强调文字颜色 5 6" xfId="663"/>
    <cellStyle name="20% - 强调文字颜色 5 6 2" xfId="664"/>
    <cellStyle name="20% - 强调文字颜色 5 6 2 2" xfId="3472"/>
    <cellStyle name="20% - 强调文字颜色 5 6 2 2 2" xfId="5554"/>
    <cellStyle name="20% - 强调文字颜色 5 6 2 2 3" xfId="5555"/>
    <cellStyle name="20% - 强调文字颜色 5 6 2 2 3 2" xfId="5556"/>
    <cellStyle name="20% - 强调文字颜色 5 6 3" xfId="3471"/>
    <cellStyle name="20% - 强调文字颜色 5 6 3 2" xfId="5557"/>
    <cellStyle name="20% - 强调文字颜色 5 6 3 3" xfId="5558"/>
    <cellStyle name="20% - 强调文字颜色 5 6 3 3 2" xfId="5559"/>
    <cellStyle name="20% - 强调文字颜色 5 6_2015财政决算公开" xfId="3473"/>
    <cellStyle name="20% - 强调文字颜色 5 7" xfId="665"/>
    <cellStyle name="20% - 强调文字颜色 5 7 2" xfId="3474"/>
    <cellStyle name="20% - 强调文字颜色 5 7 2 2" xfId="5560"/>
    <cellStyle name="20% - 强调文字颜色 5 7 2 3" xfId="5561"/>
    <cellStyle name="20% - 强调文字颜色 5 7 2 3 2" xfId="5562"/>
    <cellStyle name="20% - 强调文字颜色 5 8" xfId="2425"/>
    <cellStyle name="20% - 强调文字颜色 5 8 2" xfId="5563"/>
    <cellStyle name="20% - 强调文字颜色 5 8 3" xfId="5564"/>
    <cellStyle name="20% - 强调文字颜色 5 8 3 2" xfId="5565"/>
    <cellStyle name="20% - 强调文字颜色 6" xfId="666"/>
    <cellStyle name="20% - 强调文字颜色 6 2" xfId="667"/>
    <cellStyle name="20% - 强调文字颜色 6 2 2" xfId="520"/>
    <cellStyle name="20% - 强调文字颜色 6 2 2 2" xfId="522"/>
    <cellStyle name="20% - 强调文字颜色 6 2 2 2 2" xfId="668"/>
    <cellStyle name="20% - 强调文字颜色 6 2 2 2 2 2" xfId="3475"/>
    <cellStyle name="20% - 强调文字颜色 6 2 2 2 2 2 2" xfId="5566"/>
    <cellStyle name="20% - 强调文字颜色 6 2 2 2 2 2 3" xfId="5567"/>
    <cellStyle name="20% - 强调文字颜色 6 2 2 2 2 2 3 2" xfId="5568"/>
    <cellStyle name="20% - 强调文字颜色 6 2 2 2 3" xfId="2436"/>
    <cellStyle name="20% - 强调文字颜色 6 2 2 2 3 2" xfId="5569"/>
    <cellStyle name="20% - 强调文字颜色 6 2 2 2 3 3" xfId="5570"/>
    <cellStyle name="20% - 强调文字颜色 6 2 2 2 3 3 2" xfId="5571"/>
    <cellStyle name="20% - 强调文字颜色 6 2 2 2_2015财政决算公开" xfId="3476"/>
    <cellStyle name="20% - 强调文字颜色 6 2 2 3" xfId="524"/>
    <cellStyle name="20% - 强调文字颜色 6 2 2 3 2" xfId="2437"/>
    <cellStyle name="20% - 强调文字颜色 6 2 2 3 2 2" xfId="5572"/>
    <cellStyle name="20% - 强调文字颜色 6 2 2 3 2 3" xfId="5573"/>
    <cellStyle name="20% - 强调文字颜色 6 2 2 3 2 3 2" xfId="5574"/>
    <cellStyle name="20% - 强调文字颜色 6 2 2 4" xfId="2435"/>
    <cellStyle name="20% - 强调文字颜色 6 2 2 4 2" xfId="5575"/>
    <cellStyle name="20% - 强调文字颜色 6 2 2 4 3" xfId="5576"/>
    <cellStyle name="20% - 强调文字颜色 6 2 2 4 3 2" xfId="5577"/>
    <cellStyle name="20% - 强调文字颜色 6 2 2_2015财政决算公开" xfId="3477"/>
    <cellStyle name="20% - 强调文字颜色 6 2 3" xfId="527"/>
    <cellStyle name="20% - 强调文字颜色 6 2 3 2" xfId="529"/>
    <cellStyle name="20% - 强调文字颜色 6 2 3 2 2" xfId="3478"/>
    <cellStyle name="20% - 强调文字颜色 6 2 3 2 2 2" xfId="5578"/>
    <cellStyle name="20% - 强调文字颜色 6 2 3 2 2 3" xfId="5579"/>
    <cellStyle name="20% - 强调文字颜色 6 2 3 2 2 3 2" xfId="5580"/>
    <cellStyle name="20% - 强调文字颜色 6 2 3 3" xfId="2438"/>
    <cellStyle name="20% - 强调文字颜色 6 2 3 3 2" xfId="5581"/>
    <cellStyle name="20% - 强调文字颜色 6 2 3 3 3" xfId="5582"/>
    <cellStyle name="20% - 强调文字颜色 6 2 3 3 3 2" xfId="5583"/>
    <cellStyle name="20% - 强调文字颜色 6 2 3_2015财政决算公开" xfId="3479"/>
    <cellStyle name="20% - 强调文字颜色 6 2 4" xfId="532"/>
    <cellStyle name="20% - 强调文字颜色 6 2 4 2" xfId="2439"/>
    <cellStyle name="20% - 强调文字颜色 6 2 4 2 2" xfId="5584"/>
    <cellStyle name="20% - 强调文字颜色 6 2 4 2 3" xfId="5585"/>
    <cellStyle name="20% - 强调文字颜色 6 2 4 2 3 2" xfId="5586"/>
    <cellStyle name="20% - 强调文字颜色 6 2 5" xfId="2434"/>
    <cellStyle name="20% - 强调文字颜色 6 2 5 2" xfId="5587"/>
    <cellStyle name="20% - 强调文字颜色 6 2 5 3" xfId="5588"/>
    <cellStyle name="20% - 强调文字颜色 6 2 5 3 2" xfId="5589"/>
    <cellStyle name="20% - 强调文字颜色 6 2_2015财政决算公开" xfId="3480"/>
    <cellStyle name="20% - 强调文字颜色 6 3" xfId="669"/>
    <cellStyle name="20% - 强调文字颜色 6 3 2" xfId="670"/>
    <cellStyle name="20% - 强调文字颜色 6 3 2 2" xfId="73"/>
    <cellStyle name="20% - 强调文字颜色 6 3 2 2 2" xfId="77"/>
    <cellStyle name="20% - 强调文字颜色 6 3 2 2 2 2" xfId="3483"/>
    <cellStyle name="20% - 强调文字颜色 6 3 2 2 2 2 2" xfId="5590"/>
    <cellStyle name="20% - 强调文字颜色 6 3 2 2 2 2 3" xfId="5591"/>
    <cellStyle name="20% - 强调文字颜色 6 3 2 2 2 2 3 2" xfId="5592"/>
    <cellStyle name="20% - 强调文字颜色 6 3 2 2 3" xfId="3482"/>
    <cellStyle name="20% - 强调文字颜色 6 3 2 2 3 2" xfId="5593"/>
    <cellStyle name="20% - 强调文字颜色 6 3 2 2 3 3" xfId="5594"/>
    <cellStyle name="20% - 强调文字颜色 6 3 2 2 3 3 2" xfId="5595"/>
    <cellStyle name="20% - 强调文字颜色 6 3 2 2_2015财政决算公开" xfId="3484"/>
    <cellStyle name="20% - 强调文字颜色 6 3 2 3" xfId="7"/>
    <cellStyle name="20% - 强调文字颜色 6 3 2 3 2" xfId="3485"/>
    <cellStyle name="20% - 强调文字颜色 6 3 2 3 2 2" xfId="5596"/>
    <cellStyle name="20% - 强调文字颜色 6 3 2 3 2 3" xfId="5597"/>
    <cellStyle name="20% - 强调文字颜色 6 3 2 3 2 3 2" xfId="5598"/>
    <cellStyle name="20% - 强调文字颜色 6 3 2 4" xfId="3481"/>
    <cellStyle name="20% - 强调文字颜色 6 3 2 4 2" xfId="5599"/>
    <cellStyle name="20% - 强调文字颜色 6 3 2 4 3" xfId="5600"/>
    <cellStyle name="20% - 强调文字颜色 6 3 2 4 3 2" xfId="5601"/>
    <cellStyle name="20% - 强调文字颜色 6 3 2_2015财政决算公开" xfId="3486"/>
    <cellStyle name="20% - 强调文字颜色 6 3 3" xfId="672"/>
    <cellStyle name="20% - 强调文字颜色 6 3 3 2" xfId="109"/>
    <cellStyle name="20% - 强调文字颜色 6 3 3 2 2" xfId="3488"/>
    <cellStyle name="20% - 强调文字颜色 6 3 3 2 2 2" xfId="5602"/>
    <cellStyle name="20% - 强调文字颜色 6 3 3 2 2 3" xfId="5603"/>
    <cellStyle name="20% - 强调文字颜色 6 3 3 2 2 3 2" xfId="5604"/>
    <cellStyle name="20% - 强调文字颜色 6 3 3 3" xfId="3487"/>
    <cellStyle name="20% - 强调文字颜色 6 3 3 3 2" xfId="5605"/>
    <cellStyle name="20% - 强调文字颜色 6 3 3 3 3" xfId="5606"/>
    <cellStyle name="20% - 强调文字颜色 6 3 3 3 3 2" xfId="5607"/>
    <cellStyle name="20% - 强调文字颜色 6 3 3_2015财政决算公开" xfId="3489"/>
    <cellStyle name="20% - 强调文字颜色 6 3 4" xfId="640"/>
    <cellStyle name="20% - 强调文字颜色 6 3 4 2" xfId="3490"/>
    <cellStyle name="20% - 强调文字颜色 6 3 4 2 2" xfId="5608"/>
    <cellStyle name="20% - 强调文字颜色 6 3 4 2 3" xfId="5609"/>
    <cellStyle name="20% - 强调文字颜色 6 3 4 2 3 2" xfId="5610"/>
    <cellStyle name="20% - 强调文字颜色 6 3 5" xfId="2440"/>
    <cellStyle name="20% - 强调文字颜色 6 3 5 2" xfId="5611"/>
    <cellStyle name="20% - 强调文字颜色 6 3 5 3" xfId="5612"/>
    <cellStyle name="20% - 强调文字颜色 6 3 5 3 2" xfId="5613"/>
    <cellStyle name="20% - 强调文字颜色 6 3_2015财政决算公开" xfId="3491"/>
    <cellStyle name="20% - 强调文字颜色 6 4" xfId="673"/>
    <cellStyle name="20% - 强调文字颜色 6 4 2" xfId="675"/>
    <cellStyle name="20% - 强调文字颜色 6 4 2 2" xfId="185"/>
    <cellStyle name="20% - 强调文字颜色 6 4 2 2 2" xfId="3494"/>
    <cellStyle name="20% - 强调文字颜色 6 4 2 2 2 2" xfId="5614"/>
    <cellStyle name="20% - 强调文字颜色 6 4 2 2 2 3" xfId="5615"/>
    <cellStyle name="20% - 强调文字颜色 6 4 2 2 2 3 2" xfId="5616"/>
    <cellStyle name="20% - 强调文字颜色 6 4 2 3" xfId="3493"/>
    <cellStyle name="20% - 强调文字颜色 6 4 2 3 2" xfId="5617"/>
    <cellStyle name="20% - 强调文字颜色 6 4 2 3 3" xfId="5618"/>
    <cellStyle name="20% - 强调文字颜色 6 4 2 3 3 2" xfId="5619"/>
    <cellStyle name="20% - 强调文字颜色 6 4 2_2015财政决算公开" xfId="3495"/>
    <cellStyle name="20% - 强调文字颜色 6 4 3" xfId="676"/>
    <cellStyle name="20% - 强调文字颜色 6 4 3 2" xfId="3496"/>
    <cellStyle name="20% - 强调文字颜色 6 4 3 2 2" xfId="5620"/>
    <cellStyle name="20% - 强调文字颜色 6 4 3 2 3" xfId="5621"/>
    <cellStyle name="20% - 强调文字颜色 6 4 3 2 3 2" xfId="5622"/>
    <cellStyle name="20% - 强调文字颜色 6 4 4" xfId="3492"/>
    <cellStyle name="20% - 强调文字颜色 6 4 4 2" xfId="5623"/>
    <cellStyle name="20% - 强调文字颜色 6 4 4 3" xfId="5624"/>
    <cellStyle name="20% - 强调文字颜色 6 4 4 3 2" xfId="5625"/>
    <cellStyle name="20% - 强调文字颜色 6 4_2015财政决算公开" xfId="3497"/>
    <cellStyle name="20% - 强调文字颜色 6 5" xfId="677"/>
    <cellStyle name="20% - 强调文字颜色 6 5 2" xfId="679"/>
    <cellStyle name="20% - 强调文字颜色 6 5 2 2" xfId="680"/>
    <cellStyle name="20% - 强调文字颜色 6 5 2 2 2" xfId="3500"/>
    <cellStyle name="20% - 强调文字颜色 6 5 2 2 2 2" xfId="5626"/>
    <cellStyle name="20% - 强调文字颜色 6 5 2 2 2 3" xfId="5627"/>
    <cellStyle name="20% - 强调文字颜色 6 5 2 2 2 3 2" xfId="5628"/>
    <cellStyle name="20% - 强调文字颜色 6 5 2 3" xfId="3499"/>
    <cellStyle name="20% - 强调文字颜色 6 5 2 3 2" xfId="5629"/>
    <cellStyle name="20% - 强调文字颜色 6 5 2 3 3" xfId="5630"/>
    <cellStyle name="20% - 强调文字颜色 6 5 2 3 3 2" xfId="5631"/>
    <cellStyle name="20% - 强调文字颜色 6 5 2_2015财政决算公开" xfId="3501"/>
    <cellStyle name="20% - 强调文字颜色 6 5 3" xfId="681"/>
    <cellStyle name="20% - 强调文字颜色 6 5 3 2" xfId="3502"/>
    <cellStyle name="20% - 强调文字颜色 6 5 3 2 2" xfId="5632"/>
    <cellStyle name="20% - 强调文字颜色 6 5 3 2 3" xfId="5633"/>
    <cellStyle name="20% - 强调文字颜色 6 5 3 2 3 2" xfId="5634"/>
    <cellStyle name="20% - 强调文字颜色 6 5 4" xfId="3498"/>
    <cellStyle name="20% - 强调文字颜色 6 5 4 2" xfId="5635"/>
    <cellStyle name="20% - 强调文字颜色 6 5 4 3" xfId="5636"/>
    <cellStyle name="20% - 强调文字颜色 6 5 4 3 2" xfId="5637"/>
    <cellStyle name="20% - 强调文字颜色 6 5_2015财政决算公开" xfId="3503"/>
    <cellStyle name="20% - 强调文字颜色 6 6" xfId="682"/>
    <cellStyle name="20% - 强调文字颜色 6 6 2" xfId="683"/>
    <cellStyle name="20% - 强调文字颜色 6 6 2 2" xfId="3505"/>
    <cellStyle name="20% - 强调文字颜色 6 6 2 2 2" xfId="5638"/>
    <cellStyle name="20% - 强调文字颜色 6 6 2 2 3" xfId="5639"/>
    <cellStyle name="20% - 强调文字颜色 6 6 2 2 3 2" xfId="5640"/>
    <cellStyle name="20% - 强调文字颜色 6 6 3" xfId="3504"/>
    <cellStyle name="20% - 强调文字颜色 6 6 3 2" xfId="5641"/>
    <cellStyle name="20% - 强调文字颜色 6 6 3 3" xfId="5642"/>
    <cellStyle name="20% - 强调文字颜色 6 6 3 3 2" xfId="5643"/>
    <cellStyle name="20% - 强调文字颜色 6 6_2015财政决算公开" xfId="3506"/>
    <cellStyle name="20% - 强调文字颜色 6 7" xfId="685"/>
    <cellStyle name="20% - 强调文字颜色 6 7 2" xfId="3507"/>
    <cellStyle name="20% - 强调文字颜色 6 7 2 2" xfId="5644"/>
    <cellStyle name="20% - 强调文字颜色 6 7 2 3" xfId="5645"/>
    <cellStyle name="20% - 强调文字颜色 6 7 2 3 2" xfId="5646"/>
    <cellStyle name="20% - 强调文字颜色 6 8" xfId="2433"/>
    <cellStyle name="20% - 强调文字颜色 6 8 2" xfId="5647"/>
    <cellStyle name="20% - 强调文字颜色 6 8 3" xfId="5648"/>
    <cellStyle name="20% - 强调文字颜色 6 8 3 2" xfId="5649"/>
    <cellStyle name="20% - 着色 1" xfId="2720"/>
    <cellStyle name="20% - 着色 1 2" xfId="2804"/>
    <cellStyle name="20% - 着色 2" xfId="2715"/>
    <cellStyle name="20% - 着色 2 2" xfId="2808"/>
    <cellStyle name="20% - 着色 3" xfId="2717"/>
    <cellStyle name="20% - 着色 3 2" xfId="2805"/>
    <cellStyle name="20% - 着色 4" xfId="2714"/>
    <cellStyle name="20% - 着色 4 2" xfId="2809"/>
    <cellStyle name="20% - 着色 5" xfId="2713"/>
    <cellStyle name="20% - 着色 5 2" xfId="2810"/>
    <cellStyle name="20% - 着色 6" xfId="2711"/>
    <cellStyle name="20% - 着色 6 2" xfId="2812"/>
    <cellStyle name="40% - 强调文字颜色 1" xfId="686"/>
    <cellStyle name="40% - 强调文字颜色 1 10" xfId="5650"/>
    <cellStyle name="40% - 强调文字颜色 1 10 2" xfId="5651"/>
    <cellStyle name="40% - 强调文字颜色 1 10 2 2" xfId="5652"/>
    <cellStyle name="40% - 强调文字颜色 1 2" xfId="687"/>
    <cellStyle name="40% - 强调文字颜色 1 2 10" xfId="5653"/>
    <cellStyle name="40% - 强调文字颜色 1 2 10 2" xfId="5654"/>
    <cellStyle name="40% - 强调文字颜色 1 2 10 2 2" xfId="5655"/>
    <cellStyle name="40% - 强调文字颜色 1 2 2" xfId="689"/>
    <cellStyle name="40% - 强调文字颜色 1 2 2 2" xfId="690"/>
    <cellStyle name="40% - 强调文字颜色 1 2 2 2 2" xfId="692"/>
    <cellStyle name="40% - 强调文字颜色 1 2 2 2 2 2" xfId="3510"/>
    <cellStyle name="40% - 强调文字颜色 1 2 2 2 2 2 2" xfId="5656"/>
    <cellStyle name="40% - 强调文字颜色 1 2 2 2 2 2 3" xfId="5657"/>
    <cellStyle name="40% - 强调文字颜色 1 2 2 2 2 2 3 2" xfId="5658"/>
    <cellStyle name="40% - 强调文字颜色 1 2 2 2 3" xfId="2444"/>
    <cellStyle name="40% - 强调文字颜色 1 2 2 2 3 2" xfId="5659"/>
    <cellStyle name="40% - 强调文字颜色 1 2 2 2 3 3" xfId="5660"/>
    <cellStyle name="40% - 强调文字颜色 1 2 2 2 3 3 2" xfId="5661"/>
    <cellStyle name="40% - 强调文字颜色 1 2 2 2_2015财政决算公开" xfId="3511"/>
    <cellStyle name="40% - 强调文字颜色 1 2 2 3" xfId="693"/>
    <cellStyle name="40% - 强调文字颜色 1 2 2 3 2" xfId="2445"/>
    <cellStyle name="40% - 强调文字颜色 1 2 2 3 2 2" xfId="5662"/>
    <cellStyle name="40% - 强调文字颜色 1 2 2 3 2 3" xfId="5663"/>
    <cellStyle name="40% - 强调文字颜色 1 2 2 3 2 3 2" xfId="5664"/>
    <cellStyle name="40% - 强调文字颜色 1 2 2 4" xfId="2443"/>
    <cellStyle name="40% - 强调文字颜色 1 2 2 4 2" xfId="5665"/>
    <cellStyle name="40% - 强调文字颜色 1 2 2 4 3" xfId="5666"/>
    <cellStyle name="40% - 强调文字颜色 1 2 2 4 3 2" xfId="5667"/>
    <cellStyle name="40% - 强调文字颜色 1 2 2_2015财政决算公开" xfId="3512"/>
    <cellStyle name="40% - 强调文字颜色 1 2 3" xfId="695"/>
    <cellStyle name="40% - 强调文字颜色 1 2 3 2" xfId="696"/>
    <cellStyle name="40% - 强调文字颜色 1 2 3 2 2" xfId="697"/>
    <cellStyle name="40% - 强调文字颜色 1 2 3 2 2 2" xfId="3515"/>
    <cellStyle name="40% - 强调文字颜色 1 2 3 2 2 2 2" xfId="5668"/>
    <cellStyle name="40% - 强调文字颜色 1 2 3 2 2 2 3" xfId="5669"/>
    <cellStyle name="40% - 强调文字颜色 1 2 3 2 2 2 3 2" xfId="5670"/>
    <cellStyle name="40% - 强调文字颜色 1 2 3 2 3" xfId="3514"/>
    <cellStyle name="40% - 强调文字颜色 1 2 3 2 3 2" xfId="5671"/>
    <cellStyle name="40% - 强调文字颜色 1 2 3 2 3 3" xfId="5672"/>
    <cellStyle name="40% - 强调文字颜色 1 2 3 2 3 3 2" xfId="5673"/>
    <cellStyle name="40% - 强调文字颜色 1 2 3 2_2015财政决算公开" xfId="3516"/>
    <cellStyle name="40% - 强调文字颜色 1 2 3 3" xfId="698"/>
    <cellStyle name="40% - 强调文字颜色 1 2 3 3 2" xfId="3517"/>
    <cellStyle name="40% - 强调文字颜色 1 2 3 3 2 2" xfId="5674"/>
    <cellStyle name="40% - 强调文字颜色 1 2 3 3 2 3" xfId="5675"/>
    <cellStyle name="40% - 强调文字颜色 1 2 3 3 2 3 2" xfId="5676"/>
    <cellStyle name="40% - 强调文字颜色 1 2 3 4" xfId="2446"/>
    <cellStyle name="40% - 强调文字颜色 1 2 3 4 2" xfId="5677"/>
    <cellStyle name="40% - 强调文字颜色 1 2 3 4 3" xfId="5678"/>
    <cellStyle name="40% - 强调文字颜色 1 2 3 4 3 2" xfId="5679"/>
    <cellStyle name="40% - 强调文字颜色 1 2 3 5" xfId="3513"/>
    <cellStyle name="40% - 强调文字颜色 1 2 3 5 2" xfId="5680"/>
    <cellStyle name="40% - 强调文字颜色 1 2 3 5 3" xfId="5681"/>
    <cellStyle name="40% - 强调文字颜色 1 2 3 5 3 2" xfId="5682"/>
    <cellStyle name="40% - 强调文字颜色 1 2 3_2015财政决算公开" xfId="3518"/>
    <cellStyle name="40% - 强调文字颜色 1 2 4" xfId="699"/>
    <cellStyle name="40% - 强调文字颜色 1 2 4 2" xfId="700"/>
    <cellStyle name="40% - 强调文字颜色 1 2 4 2 2" xfId="3520"/>
    <cellStyle name="40% - 强调文字颜色 1 2 4 2 2 2" xfId="5683"/>
    <cellStyle name="40% - 强调文字颜色 1 2 4 2 2 3" xfId="5684"/>
    <cellStyle name="40% - 强调文字颜色 1 2 4 2 2 3 2" xfId="5685"/>
    <cellStyle name="40% - 强调文字颜色 1 2 4 3" xfId="2447"/>
    <cellStyle name="40% - 强调文字颜色 1 2 4 3 2" xfId="5686"/>
    <cellStyle name="40% - 强调文字颜色 1 2 4 3 3" xfId="5687"/>
    <cellStyle name="40% - 强调文字颜色 1 2 4 3 3 2" xfId="5688"/>
    <cellStyle name="40% - 强调文字颜色 1 2 4 4" xfId="3519"/>
    <cellStyle name="40% - 强调文字颜色 1 2 4 4 2" xfId="5689"/>
    <cellStyle name="40% - 强调文字颜色 1 2 4 4 3" xfId="5690"/>
    <cellStyle name="40% - 强调文字颜色 1 2 4 4 3 2" xfId="5691"/>
    <cellStyle name="40% - 强调文字颜色 1 2 4_2015财政决算公开" xfId="3521"/>
    <cellStyle name="40% - 强调文字颜色 1 2 5" xfId="701"/>
    <cellStyle name="40% - 强调文字颜色 1 2 5 2" xfId="3522"/>
    <cellStyle name="40% - 强调文字颜色 1 2 5 2 2" xfId="5692"/>
    <cellStyle name="40% - 强调文字颜色 1 2 5 2 3" xfId="5693"/>
    <cellStyle name="40% - 强调文字颜色 1 2 5 2 3 2" xfId="5694"/>
    <cellStyle name="40% - 强调文字颜色 1 2 6" xfId="2442"/>
    <cellStyle name="40% - 强调文字颜色 1 2 6 2" xfId="5695"/>
    <cellStyle name="40% - 强调文字颜色 1 2 6 3" xfId="5696"/>
    <cellStyle name="40% - 强调文字颜色 1 2 6 3 2" xfId="5697"/>
    <cellStyle name="40% - 强调文字颜色 1 2 7" xfId="3509"/>
    <cellStyle name="40% - 强调文字颜色 1 2 7 2" xfId="5698"/>
    <cellStyle name="40% - 强调文字颜色 1 2 7 3" xfId="5699"/>
    <cellStyle name="40% - 强调文字颜色 1 2 7 3 2" xfId="5700"/>
    <cellStyle name="40% - 强调文字颜色 1 2 8" xfId="5701"/>
    <cellStyle name="40% - 强调文字颜色 1 2 8 2" xfId="5702"/>
    <cellStyle name="40% - 强调文字颜色 1 2 8 2 2" xfId="5703"/>
    <cellStyle name="40% - 强调文字颜色 1 2 9" xfId="5704"/>
    <cellStyle name="40% - 强调文字颜色 1 2 9 2" xfId="5705"/>
    <cellStyle name="40% - 强调文字颜色 1 2 9 2 2" xfId="5706"/>
    <cellStyle name="40% - 强调文字颜色 1 2_2015财政决算公开" xfId="3523"/>
    <cellStyle name="40% - 强调文字颜色 1 3" xfId="703"/>
    <cellStyle name="40% - 强调文字颜色 1 3 2" xfId="706"/>
    <cellStyle name="40% - 强调文字颜色 1 3 2 2" xfId="708"/>
    <cellStyle name="40% - 强调文字颜色 1 3 2 2 2" xfId="709"/>
    <cellStyle name="40% - 强调文字颜色 1 3 2 2 2 2" xfId="3526"/>
    <cellStyle name="40% - 强调文字颜色 1 3 2 2 2 2 2" xfId="5707"/>
    <cellStyle name="40% - 强调文字颜色 1 3 2 2 2 2 3" xfId="5708"/>
    <cellStyle name="40% - 强调文字颜色 1 3 2 2 2 2 3 2" xfId="5709"/>
    <cellStyle name="40% - 强调文字颜色 1 3 2 2 3" xfId="3525"/>
    <cellStyle name="40% - 强调文字颜色 1 3 2 2 3 2" xfId="5710"/>
    <cellStyle name="40% - 强调文字颜色 1 3 2 2 3 3" xfId="5711"/>
    <cellStyle name="40% - 强调文字颜色 1 3 2 2 3 3 2" xfId="5712"/>
    <cellStyle name="40% - 强调文字颜色 1 3 2 2_2015财政决算公开" xfId="3527"/>
    <cellStyle name="40% - 强调文字颜色 1 3 2 3" xfId="710"/>
    <cellStyle name="40% - 强调文字颜色 1 3 2 3 2" xfId="3528"/>
    <cellStyle name="40% - 强调文字颜色 1 3 2 3 2 2" xfId="5713"/>
    <cellStyle name="40% - 强调文字颜色 1 3 2 3 2 3" xfId="5714"/>
    <cellStyle name="40% - 强调文字颜色 1 3 2 3 2 3 2" xfId="5715"/>
    <cellStyle name="40% - 强调文字颜色 1 3 2 4" xfId="3524"/>
    <cellStyle name="40% - 强调文字颜色 1 3 2 4 2" xfId="5716"/>
    <cellStyle name="40% - 强调文字颜色 1 3 2 4 3" xfId="5717"/>
    <cellStyle name="40% - 强调文字颜色 1 3 2 4 3 2" xfId="5718"/>
    <cellStyle name="40% - 强调文字颜色 1 3 2_2015财政决算公开" xfId="3529"/>
    <cellStyle name="40% - 强调文字颜色 1 3 3" xfId="712"/>
    <cellStyle name="40% - 强调文字颜色 1 3 3 2" xfId="713"/>
    <cellStyle name="40% - 强调文字颜色 1 3 3 2 2" xfId="3531"/>
    <cellStyle name="40% - 强调文字颜色 1 3 3 2 2 2" xfId="5719"/>
    <cellStyle name="40% - 强调文字颜色 1 3 3 2 2 3" xfId="5720"/>
    <cellStyle name="40% - 强调文字颜色 1 3 3 2 2 3 2" xfId="5721"/>
    <cellStyle name="40% - 强调文字颜色 1 3 3 3" xfId="3530"/>
    <cellStyle name="40% - 强调文字颜色 1 3 3 3 2" xfId="5722"/>
    <cellStyle name="40% - 强调文字颜色 1 3 3 3 3" xfId="5723"/>
    <cellStyle name="40% - 强调文字颜色 1 3 3 3 3 2" xfId="5724"/>
    <cellStyle name="40% - 强调文字颜色 1 3 3_2015财政决算公开" xfId="3532"/>
    <cellStyle name="40% - 强调文字颜色 1 3 4" xfId="714"/>
    <cellStyle name="40% - 强调文字颜色 1 3 4 2" xfId="3533"/>
    <cellStyle name="40% - 强调文字颜色 1 3 4 2 2" xfId="5725"/>
    <cellStyle name="40% - 强调文字颜色 1 3 4 2 3" xfId="5726"/>
    <cellStyle name="40% - 强调文字颜色 1 3 4 2 3 2" xfId="5727"/>
    <cellStyle name="40% - 强调文字颜色 1 3 5" xfId="2448"/>
    <cellStyle name="40% - 强调文字颜色 1 3 5 2" xfId="5728"/>
    <cellStyle name="40% - 强调文字颜色 1 3 5 3" xfId="5729"/>
    <cellStyle name="40% - 强调文字颜色 1 3 5 3 2" xfId="5730"/>
    <cellStyle name="40% - 强调文字颜色 1 3_2015财政决算公开" xfId="3534"/>
    <cellStyle name="40% - 强调文字颜色 1 4" xfId="716"/>
    <cellStyle name="40% - 强调文字颜色 1 4 2" xfId="718"/>
    <cellStyle name="40% - 强调文字颜色 1 4 2 2" xfId="719"/>
    <cellStyle name="40% - 强调文字颜色 1 4 2 2 2" xfId="3537"/>
    <cellStyle name="40% - 强调文字颜色 1 4 2 2 2 2" xfId="5731"/>
    <cellStyle name="40% - 强调文字颜色 1 4 2 2 2 3" xfId="5732"/>
    <cellStyle name="40% - 强调文字颜色 1 4 2 2 2 3 2" xfId="5733"/>
    <cellStyle name="40% - 强调文字颜色 1 4 2 3" xfId="3536"/>
    <cellStyle name="40% - 强调文字颜色 1 4 2 3 2" xfId="5734"/>
    <cellStyle name="40% - 强调文字颜色 1 4 2 3 3" xfId="5735"/>
    <cellStyle name="40% - 强调文字颜色 1 4 2 3 3 2" xfId="5736"/>
    <cellStyle name="40% - 强调文字颜色 1 4 2_2015财政决算公开" xfId="3538"/>
    <cellStyle name="40% - 强调文字颜色 1 4 3" xfId="720"/>
    <cellStyle name="40% - 强调文字颜色 1 4 3 2" xfId="3539"/>
    <cellStyle name="40% - 强调文字颜色 1 4 3 2 2" xfId="5737"/>
    <cellStyle name="40% - 强调文字颜色 1 4 3 2 3" xfId="5738"/>
    <cellStyle name="40% - 强调文字颜色 1 4 3 2 3 2" xfId="5739"/>
    <cellStyle name="40% - 强调文字颜色 1 4 4" xfId="3535"/>
    <cellStyle name="40% - 强调文字颜色 1 4 4 2" xfId="5740"/>
    <cellStyle name="40% - 强调文字颜色 1 4 4 3" xfId="5741"/>
    <cellStyle name="40% - 强调文字颜色 1 4 4 3 2" xfId="5742"/>
    <cellStyle name="40% - 强调文字颜色 1 4_2015财政决算公开" xfId="3540"/>
    <cellStyle name="40% - 强调文字颜色 1 5" xfId="723"/>
    <cellStyle name="40% - 强调文字颜色 1 5 2" xfId="724"/>
    <cellStyle name="40% - 强调文字颜色 1 5 2 2" xfId="725"/>
    <cellStyle name="40% - 强调文字颜色 1 5 2 2 2" xfId="3543"/>
    <cellStyle name="40% - 强调文字颜色 1 5 2 2 2 2" xfId="5743"/>
    <cellStyle name="40% - 强调文字颜色 1 5 2 2 2 3" xfId="5744"/>
    <cellStyle name="40% - 强调文字颜色 1 5 2 2 2 3 2" xfId="5745"/>
    <cellStyle name="40% - 强调文字颜色 1 5 2 3" xfId="3542"/>
    <cellStyle name="40% - 强调文字颜色 1 5 2 3 2" xfId="5746"/>
    <cellStyle name="40% - 强调文字颜色 1 5 2 3 3" xfId="5747"/>
    <cellStyle name="40% - 强调文字颜色 1 5 2 3 3 2" xfId="5748"/>
    <cellStyle name="40% - 强调文字颜色 1 5 2_2015财政决算公开" xfId="3544"/>
    <cellStyle name="40% - 强调文字颜色 1 5 3" xfId="726"/>
    <cellStyle name="40% - 强调文字颜色 1 5 3 2" xfId="3545"/>
    <cellStyle name="40% - 强调文字颜色 1 5 3 2 2" xfId="5749"/>
    <cellStyle name="40% - 强调文字颜色 1 5 3 2 3" xfId="5750"/>
    <cellStyle name="40% - 强调文字颜色 1 5 3 2 3 2" xfId="5751"/>
    <cellStyle name="40% - 强调文字颜色 1 5 4" xfId="3541"/>
    <cellStyle name="40% - 强调文字颜色 1 5 4 2" xfId="5752"/>
    <cellStyle name="40% - 强调文字颜色 1 5 4 3" xfId="5753"/>
    <cellStyle name="40% - 强调文字颜色 1 5 4 3 2" xfId="5754"/>
    <cellStyle name="40% - 强调文字颜色 1 5_2015财政决算公开" xfId="3546"/>
    <cellStyle name="40% - 强调文字颜色 1 6" xfId="728"/>
    <cellStyle name="40% - 强调文字颜色 1 6 2" xfId="729"/>
    <cellStyle name="40% - 强调文字颜色 1 6 2 2" xfId="3548"/>
    <cellStyle name="40% - 强调文字颜色 1 6 2 2 2" xfId="5755"/>
    <cellStyle name="40% - 强调文字颜色 1 6 2 2 3" xfId="5756"/>
    <cellStyle name="40% - 强调文字颜色 1 6 2 2 3 2" xfId="5757"/>
    <cellStyle name="40% - 强调文字颜色 1 6 3" xfId="3547"/>
    <cellStyle name="40% - 强调文字颜色 1 6 3 2" xfId="5758"/>
    <cellStyle name="40% - 强调文字颜色 1 6 3 3" xfId="5759"/>
    <cellStyle name="40% - 强调文字颜色 1 6 3 3 2" xfId="5760"/>
    <cellStyle name="40% - 强调文字颜色 1 6_2015财政决算公开" xfId="3549"/>
    <cellStyle name="40% - 强调文字颜色 1 7" xfId="730"/>
    <cellStyle name="40% - 强调文字颜色 1 7 2" xfId="3550"/>
    <cellStyle name="40% - 强调文字颜色 1 7 2 2" xfId="5761"/>
    <cellStyle name="40% - 强调文字颜色 1 7 2 3" xfId="5762"/>
    <cellStyle name="40% - 强调文字颜色 1 7 2 3 2" xfId="5763"/>
    <cellStyle name="40% - 强调文字颜色 1 8" xfId="2441"/>
    <cellStyle name="40% - 强调文字颜色 1 8 2" xfId="5764"/>
    <cellStyle name="40% - 强调文字颜色 1 8 3" xfId="5765"/>
    <cellStyle name="40% - 强调文字颜色 1 8 3 2" xfId="5766"/>
    <cellStyle name="40% - 强调文字颜色 1 9" xfId="3508"/>
    <cellStyle name="40% - 强调文字颜色 1 9 2" xfId="5767"/>
    <cellStyle name="40% - 强调文字颜色 1 9 3" xfId="5768"/>
    <cellStyle name="40% - 强调文字颜色 1 9 3 2" xfId="5769"/>
    <cellStyle name="40% - 强调文字颜色 2" xfId="731"/>
    <cellStyle name="40% - 强调文字颜色 2 2" xfId="732"/>
    <cellStyle name="40% - 强调文字颜色 2 2 2" xfId="734"/>
    <cellStyle name="40% - 强调文字颜色 2 2 2 2" xfId="736"/>
    <cellStyle name="40% - 强调文字颜色 2 2 2 2 2" xfId="738"/>
    <cellStyle name="40% - 强调文字颜色 2 2 2 2 2 2" xfId="3551"/>
    <cellStyle name="40% - 强调文字颜色 2 2 2 2 2 2 2" xfId="5770"/>
    <cellStyle name="40% - 强调文字颜色 2 2 2 2 2 2 3" xfId="5771"/>
    <cellStyle name="40% - 强调文字颜色 2 2 2 2 2 2 3 2" xfId="5772"/>
    <cellStyle name="40% - 强调文字颜色 2 2 2 2 3" xfId="2452"/>
    <cellStyle name="40% - 强调文字颜色 2 2 2 2 3 2" xfId="5773"/>
    <cellStyle name="40% - 强调文字颜色 2 2 2 2 3 3" xfId="5774"/>
    <cellStyle name="40% - 强调文字颜色 2 2 2 2 3 3 2" xfId="5775"/>
    <cellStyle name="40% - 强调文字颜色 2 2 2 2_2015财政决算公开" xfId="3552"/>
    <cellStyle name="40% - 强调文字颜色 2 2 2 3" xfId="740"/>
    <cellStyle name="40% - 强调文字颜色 2 2 2 3 2" xfId="2453"/>
    <cellStyle name="40% - 强调文字颜色 2 2 2 3 2 2" xfId="5776"/>
    <cellStyle name="40% - 强调文字颜色 2 2 2 3 2 3" xfId="5777"/>
    <cellStyle name="40% - 强调文字颜色 2 2 2 3 2 3 2" xfId="5778"/>
    <cellStyle name="40% - 强调文字颜色 2 2 2 4" xfId="2451"/>
    <cellStyle name="40% - 强调文字颜色 2 2 2 4 2" xfId="5779"/>
    <cellStyle name="40% - 强调文字颜色 2 2 2 4 3" xfId="5780"/>
    <cellStyle name="40% - 强调文字颜色 2 2 2 4 3 2" xfId="5781"/>
    <cellStyle name="40% - 强调文字颜色 2 2 2_2015财政决算公开" xfId="3553"/>
    <cellStyle name="40% - 强调文字颜色 2 2 3" xfId="742"/>
    <cellStyle name="40% - 强调文字颜色 2 2 3 2" xfId="743"/>
    <cellStyle name="40% - 强调文字颜色 2 2 3 2 2" xfId="3554"/>
    <cellStyle name="40% - 强调文字颜色 2 2 3 2 2 2" xfId="5782"/>
    <cellStyle name="40% - 强调文字颜色 2 2 3 2 2 3" xfId="5783"/>
    <cellStyle name="40% - 强调文字颜色 2 2 3 2 2 3 2" xfId="5784"/>
    <cellStyle name="40% - 强调文字颜色 2 2 3 3" xfId="2454"/>
    <cellStyle name="40% - 强调文字颜色 2 2 3 3 2" xfId="5785"/>
    <cellStyle name="40% - 强调文字颜色 2 2 3 3 3" xfId="5786"/>
    <cellStyle name="40% - 强调文字颜色 2 2 3 3 3 2" xfId="5787"/>
    <cellStyle name="40% - 强调文字颜色 2 2 3_2015财政决算公开" xfId="3555"/>
    <cellStyle name="40% - 强调文字颜色 2 2 4" xfId="744"/>
    <cellStyle name="40% - 强调文字颜色 2 2 4 2" xfId="2455"/>
    <cellStyle name="40% - 强调文字颜色 2 2 4 2 2" xfId="5788"/>
    <cellStyle name="40% - 强调文字颜色 2 2 4 2 3" xfId="5789"/>
    <cellStyle name="40% - 强调文字颜色 2 2 4 2 3 2" xfId="5790"/>
    <cellStyle name="40% - 强调文字颜色 2 2 5" xfId="2450"/>
    <cellStyle name="40% - 强调文字颜色 2 2 5 2" xfId="5791"/>
    <cellStyle name="40% - 强调文字颜色 2 2 5 3" xfId="5792"/>
    <cellStyle name="40% - 强调文字颜色 2 2 5 3 2" xfId="5793"/>
    <cellStyle name="40% - 强调文字颜色 2 2_2015财政决算公开" xfId="3556"/>
    <cellStyle name="40% - 强调文字颜色 2 3" xfId="745"/>
    <cellStyle name="40% - 强调文字颜色 2 3 2" xfId="746"/>
    <cellStyle name="40% - 强调文字颜色 2 3 2 2" xfId="747"/>
    <cellStyle name="40% - 强调文字颜色 2 3 2 2 2" xfId="748"/>
    <cellStyle name="40% - 强调文字颜色 2 3 2 2 2 2" xfId="3559"/>
    <cellStyle name="40% - 强调文字颜色 2 3 2 2 2 2 2" xfId="5794"/>
    <cellStyle name="40% - 强调文字颜色 2 3 2 2 2 2 3" xfId="5795"/>
    <cellStyle name="40% - 强调文字颜色 2 3 2 2 2 2 3 2" xfId="5796"/>
    <cellStyle name="40% - 强调文字颜色 2 3 2 2 3" xfId="3558"/>
    <cellStyle name="40% - 强调文字颜色 2 3 2 2 3 2" xfId="5797"/>
    <cellStyle name="40% - 强调文字颜色 2 3 2 2 3 3" xfId="5798"/>
    <cellStyle name="40% - 强调文字颜色 2 3 2 2 3 3 2" xfId="5799"/>
    <cellStyle name="40% - 强调文字颜色 2 3 2 2_2015财政决算公开" xfId="3560"/>
    <cellStyle name="40% - 强调文字颜色 2 3 2 3" xfId="751"/>
    <cellStyle name="40% - 强调文字颜色 2 3 2 3 2" xfId="3561"/>
    <cellStyle name="40% - 强调文字颜色 2 3 2 3 2 2" xfId="5800"/>
    <cellStyle name="40% - 强调文字颜色 2 3 2 3 2 3" xfId="5801"/>
    <cellStyle name="40% - 强调文字颜色 2 3 2 3 2 3 2" xfId="5802"/>
    <cellStyle name="40% - 强调文字颜色 2 3 2 4" xfId="3557"/>
    <cellStyle name="40% - 强调文字颜色 2 3 2 4 2" xfId="5803"/>
    <cellStyle name="40% - 强调文字颜色 2 3 2 4 3" xfId="5804"/>
    <cellStyle name="40% - 强调文字颜色 2 3 2 4 3 2" xfId="5805"/>
    <cellStyle name="40% - 强调文字颜色 2 3 2_2015财政决算公开" xfId="3562"/>
    <cellStyle name="40% - 强调文字颜色 2 3 3" xfId="752"/>
    <cellStyle name="40% - 强调文字颜色 2 3 3 2" xfId="753"/>
    <cellStyle name="40% - 强调文字颜色 2 3 3 2 2" xfId="3564"/>
    <cellStyle name="40% - 强调文字颜色 2 3 3 2 2 2" xfId="5806"/>
    <cellStyle name="40% - 强调文字颜色 2 3 3 2 2 3" xfId="5807"/>
    <cellStyle name="40% - 强调文字颜色 2 3 3 2 2 3 2" xfId="5808"/>
    <cellStyle name="40% - 强调文字颜色 2 3 3 3" xfId="3563"/>
    <cellStyle name="40% - 强调文字颜色 2 3 3 3 2" xfId="5809"/>
    <cellStyle name="40% - 强调文字颜色 2 3 3 3 3" xfId="5810"/>
    <cellStyle name="40% - 强调文字颜色 2 3 3 3 3 2" xfId="5811"/>
    <cellStyle name="40% - 强调文字颜色 2 3 3_2015财政决算公开" xfId="3565"/>
    <cellStyle name="40% - 强调文字颜色 2 3 4" xfId="754"/>
    <cellStyle name="40% - 强调文字颜色 2 3 4 2" xfId="3566"/>
    <cellStyle name="40% - 强调文字颜色 2 3 4 2 2" xfId="5812"/>
    <cellStyle name="40% - 强调文字颜色 2 3 4 2 3" xfId="5813"/>
    <cellStyle name="40% - 强调文字颜色 2 3 4 2 3 2" xfId="5814"/>
    <cellStyle name="40% - 强调文字颜色 2 3 5" xfId="2456"/>
    <cellStyle name="40% - 强调文字颜色 2 3 5 2" xfId="5815"/>
    <cellStyle name="40% - 强调文字颜色 2 3 5 3" xfId="5816"/>
    <cellStyle name="40% - 强调文字颜色 2 3 5 3 2" xfId="5817"/>
    <cellStyle name="40% - 强调文字颜色 2 3_2015财政决算公开" xfId="3567"/>
    <cellStyle name="40% - 强调文字颜色 2 4" xfId="755"/>
    <cellStyle name="40% - 强调文字颜色 2 4 2" xfId="756"/>
    <cellStyle name="40% - 强调文字颜色 2 4 2 2" xfId="757"/>
    <cellStyle name="40% - 强调文字颜色 2 4 2 2 2" xfId="3570"/>
    <cellStyle name="40% - 强调文字颜色 2 4 2 2 2 2" xfId="5818"/>
    <cellStyle name="40% - 强调文字颜色 2 4 2 2 2 3" xfId="5819"/>
    <cellStyle name="40% - 强调文字颜色 2 4 2 2 2 3 2" xfId="5820"/>
    <cellStyle name="40% - 强调文字颜色 2 4 2 3" xfId="3569"/>
    <cellStyle name="40% - 强调文字颜色 2 4 2 3 2" xfId="5821"/>
    <cellStyle name="40% - 强调文字颜色 2 4 2 3 3" xfId="5822"/>
    <cellStyle name="40% - 强调文字颜色 2 4 2 3 3 2" xfId="5823"/>
    <cellStyle name="40% - 强调文字颜色 2 4 2_2015财政决算公开" xfId="3571"/>
    <cellStyle name="40% - 强调文字颜色 2 4 3" xfId="758"/>
    <cellStyle name="40% - 强调文字颜色 2 4 3 2" xfId="3572"/>
    <cellStyle name="40% - 强调文字颜色 2 4 3 2 2" xfId="5824"/>
    <cellStyle name="40% - 强调文字颜色 2 4 3 2 3" xfId="5825"/>
    <cellStyle name="40% - 强调文字颜色 2 4 3 2 3 2" xfId="5826"/>
    <cellStyle name="40% - 强调文字颜色 2 4 4" xfId="3568"/>
    <cellStyle name="40% - 强调文字颜色 2 4 4 2" xfId="5827"/>
    <cellStyle name="40% - 强调文字颜色 2 4 4 3" xfId="5828"/>
    <cellStyle name="40% - 强调文字颜色 2 4 4 3 2" xfId="5829"/>
    <cellStyle name="40% - 强调文字颜色 2 4_2015财政决算公开" xfId="3573"/>
    <cellStyle name="40% - 强调文字颜色 2 5" xfId="760"/>
    <cellStyle name="40% - 强调文字颜色 2 5 2" xfId="761"/>
    <cellStyle name="40% - 强调文字颜色 2 5 2 2" xfId="762"/>
    <cellStyle name="40% - 强调文字颜色 2 5 2 2 2" xfId="3576"/>
    <cellStyle name="40% - 强调文字颜色 2 5 2 2 2 2" xfId="5830"/>
    <cellStyle name="40% - 强调文字颜色 2 5 2 2 2 3" xfId="5831"/>
    <cellStyle name="40% - 强调文字颜色 2 5 2 2 2 3 2" xfId="5832"/>
    <cellStyle name="40% - 强调文字颜色 2 5 2 3" xfId="3575"/>
    <cellStyle name="40% - 强调文字颜色 2 5 2 3 2" xfId="5833"/>
    <cellStyle name="40% - 强调文字颜色 2 5 2 3 3" xfId="5834"/>
    <cellStyle name="40% - 强调文字颜色 2 5 2 3 3 2" xfId="5835"/>
    <cellStyle name="40% - 强调文字颜色 2 5 2_2015财政决算公开" xfId="3577"/>
    <cellStyle name="40% - 强调文字颜色 2 5 3" xfId="763"/>
    <cellStyle name="40% - 强调文字颜色 2 5 3 2" xfId="3578"/>
    <cellStyle name="40% - 强调文字颜色 2 5 3 2 2" xfId="5836"/>
    <cellStyle name="40% - 强调文字颜色 2 5 3 2 3" xfId="5837"/>
    <cellStyle name="40% - 强调文字颜色 2 5 3 2 3 2" xfId="5838"/>
    <cellStyle name="40% - 强调文字颜色 2 5 4" xfId="3574"/>
    <cellStyle name="40% - 强调文字颜色 2 5 4 2" xfId="5839"/>
    <cellStyle name="40% - 强调文字颜色 2 5 4 3" xfId="5840"/>
    <cellStyle name="40% - 强调文字颜色 2 5 4 3 2" xfId="5841"/>
    <cellStyle name="40% - 强调文字颜色 2 5_2015财政决算公开" xfId="3579"/>
    <cellStyle name="40% - 强调文字颜色 2 6" xfId="765"/>
    <cellStyle name="40% - 强调文字颜色 2 6 2" xfId="766"/>
    <cellStyle name="40% - 强调文字颜色 2 6 2 2" xfId="3581"/>
    <cellStyle name="40% - 强调文字颜色 2 6 2 2 2" xfId="5842"/>
    <cellStyle name="40% - 强调文字颜色 2 6 2 2 3" xfId="5843"/>
    <cellStyle name="40% - 强调文字颜色 2 6 2 2 3 2" xfId="5844"/>
    <cellStyle name="40% - 强调文字颜色 2 6 3" xfId="3580"/>
    <cellStyle name="40% - 强调文字颜色 2 6 3 2" xfId="5845"/>
    <cellStyle name="40% - 强调文字颜色 2 6 3 3" xfId="5846"/>
    <cellStyle name="40% - 强调文字颜色 2 6 3 3 2" xfId="5847"/>
    <cellStyle name="40% - 强调文字颜色 2 6_2015财政决算公开" xfId="3582"/>
    <cellStyle name="40% - 强调文字颜色 2 7" xfId="311"/>
    <cellStyle name="40% - 强调文字颜色 2 7 2" xfId="3583"/>
    <cellStyle name="40% - 强调文字颜色 2 7 2 2" xfId="5848"/>
    <cellStyle name="40% - 强调文字颜色 2 7 2 3" xfId="5849"/>
    <cellStyle name="40% - 强调文字颜色 2 7 2 3 2" xfId="5850"/>
    <cellStyle name="40% - 强调文字颜色 2 8" xfId="2449"/>
    <cellStyle name="40% - 强调文字颜色 2 8 2" xfId="5851"/>
    <cellStyle name="40% - 强调文字颜色 2 8 3" xfId="5852"/>
    <cellStyle name="40% - 强调文字颜色 2 8 3 2" xfId="5853"/>
    <cellStyle name="40% - 强调文字颜色 3" xfId="769"/>
    <cellStyle name="40% - 强调文字颜色 3 10" xfId="5854"/>
    <cellStyle name="40% - 强调文字颜色 3 10 2" xfId="5855"/>
    <cellStyle name="40% - 强调文字颜色 3 10 2 2" xfId="5856"/>
    <cellStyle name="40% - 强调文字颜色 3 2" xfId="770"/>
    <cellStyle name="40% - 强调文字颜色 3 2 10" xfId="5857"/>
    <cellStyle name="40% - 强调文字颜色 3 2 10 2" xfId="5858"/>
    <cellStyle name="40% - 强调文字颜色 3 2 10 2 2" xfId="5859"/>
    <cellStyle name="40% - 强调文字颜色 3 2 2" xfId="771"/>
    <cellStyle name="40% - 强调文字颜色 3 2 2 2" xfId="772"/>
    <cellStyle name="40% - 强调文字颜色 3 2 2 2 2" xfId="773"/>
    <cellStyle name="40% - 强调文字颜色 3 2 2 2 2 2" xfId="3586"/>
    <cellStyle name="40% - 强调文字颜色 3 2 2 2 2 2 2" xfId="5860"/>
    <cellStyle name="40% - 强调文字颜色 3 2 2 2 2 2 3" xfId="5861"/>
    <cellStyle name="40% - 强调文字颜色 3 2 2 2 2 2 3 2" xfId="5862"/>
    <cellStyle name="40% - 强调文字颜色 3 2 2 2 3" xfId="2460"/>
    <cellStyle name="40% - 强调文字颜色 3 2 2 2 3 2" xfId="5863"/>
    <cellStyle name="40% - 强调文字颜色 3 2 2 2 3 3" xfId="5864"/>
    <cellStyle name="40% - 强调文字颜色 3 2 2 2 3 3 2" xfId="5865"/>
    <cellStyle name="40% - 强调文字颜色 3 2 2 2_2015财政决算公开" xfId="3587"/>
    <cellStyle name="40% - 强调文字颜色 3 2 2 3" xfId="775"/>
    <cellStyle name="40% - 强调文字颜色 3 2 2 3 2" xfId="2461"/>
    <cellStyle name="40% - 强调文字颜色 3 2 2 3 2 2" xfId="5866"/>
    <cellStyle name="40% - 强调文字颜色 3 2 2 3 2 3" xfId="5867"/>
    <cellStyle name="40% - 强调文字颜色 3 2 2 3 2 3 2" xfId="5868"/>
    <cellStyle name="40% - 强调文字颜色 3 2 2 4" xfId="2459"/>
    <cellStyle name="40% - 强调文字颜色 3 2 2 4 2" xfId="5869"/>
    <cellStyle name="40% - 强调文字颜色 3 2 2 4 3" xfId="5870"/>
    <cellStyle name="40% - 强调文字颜色 3 2 2 4 3 2" xfId="5871"/>
    <cellStyle name="40% - 强调文字颜色 3 2 2_2015财政决算公开" xfId="3588"/>
    <cellStyle name="40% - 强调文字颜色 3 2 3" xfId="776"/>
    <cellStyle name="40% - 强调文字颜色 3 2 3 2" xfId="777"/>
    <cellStyle name="40% - 强调文字颜色 3 2 3 2 2" xfId="778"/>
    <cellStyle name="40% - 强调文字颜色 3 2 3 2 2 2" xfId="3591"/>
    <cellStyle name="40% - 强调文字颜色 3 2 3 2 2 2 2" xfId="5872"/>
    <cellStyle name="40% - 强调文字颜色 3 2 3 2 2 2 3" xfId="5873"/>
    <cellStyle name="40% - 强调文字颜色 3 2 3 2 2 2 3 2" xfId="5874"/>
    <cellStyle name="40% - 强调文字颜色 3 2 3 2 3" xfId="3590"/>
    <cellStyle name="40% - 强调文字颜色 3 2 3 2 3 2" xfId="5875"/>
    <cellStyle name="40% - 强调文字颜色 3 2 3 2 3 3" xfId="5876"/>
    <cellStyle name="40% - 强调文字颜色 3 2 3 2 3 3 2" xfId="5877"/>
    <cellStyle name="40% - 强调文字颜色 3 2 3 2_2015财政决算公开" xfId="3592"/>
    <cellStyle name="40% - 强调文字颜色 3 2 3 3" xfId="779"/>
    <cellStyle name="40% - 强调文字颜色 3 2 3 3 2" xfId="3593"/>
    <cellStyle name="40% - 强调文字颜色 3 2 3 3 2 2" xfId="5878"/>
    <cellStyle name="40% - 强调文字颜色 3 2 3 3 2 3" xfId="5879"/>
    <cellStyle name="40% - 强调文字颜色 3 2 3 3 2 3 2" xfId="5880"/>
    <cellStyle name="40% - 强调文字颜色 3 2 3 4" xfId="2462"/>
    <cellStyle name="40% - 强调文字颜色 3 2 3 4 2" xfId="5881"/>
    <cellStyle name="40% - 强调文字颜色 3 2 3 4 3" xfId="5882"/>
    <cellStyle name="40% - 强调文字颜色 3 2 3 4 3 2" xfId="5883"/>
    <cellStyle name="40% - 强调文字颜色 3 2 3 5" xfId="3589"/>
    <cellStyle name="40% - 强调文字颜色 3 2 3 5 2" xfId="5884"/>
    <cellStyle name="40% - 强调文字颜色 3 2 3 5 3" xfId="5885"/>
    <cellStyle name="40% - 强调文字颜色 3 2 3 5 3 2" xfId="5886"/>
    <cellStyle name="40% - 强调文字颜色 3 2 3_2015财政决算公开" xfId="3594"/>
    <cellStyle name="40% - 强调文字颜色 3 2 4" xfId="780"/>
    <cellStyle name="40% - 强调文字颜色 3 2 4 2" xfId="781"/>
    <cellStyle name="40% - 强调文字颜色 3 2 4 2 2" xfId="3596"/>
    <cellStyle name="40% - 强调文字颜色 3 2 4 2 2 2" xfId="5887"/>
    <cellStyle name="40% - 强调文字颜色 3 2 4 2 2 3" xfId="5888"/>
    <cellStyle name="40% - 强调文字颜色 3 2 4 2 2 3 2" xfId="5889"/>
    <cellStyle name="40% - 强调文字颜色 3 2 4 3" xfId="2463"/>
    <cellStyle name="40% - 强调文字颜色 3 2 4 3 2" xfId="5890"/>
    <cellStyle name="40% - 强调文字颜色 3 2 4 3 3" xfId="5891"/>
    <cellStyle name="40% - 强调文字颜色 3 2 4 3 3 2" xfId="5892"/>
    <cellStyle name="40% - 强调文字颜色 3 2 4 4" xfId="3595"/>
    <cellStyle name="40% - 强调文字颜色 3 2 4 4 2" xfId="5893"/>
    <cellStyle name="40% - 强调文字颜色 3 2 4 4 3" xfId="5894"/>
    <cellStyle name="40% - 强调文字颜色 3 2 4 4 3 2" xfId="5895"/>
    <cellStyle name="40% - 强调文字颜色 3 2 4_2015财政决算公开" xfId="3597"/>
    <cellStyle name="40% - 强调文字颜色 3 2 5" xfId="782"/>
    <cellStyle name="40% - 强调文字颜色 3 2 5 2" xfId="3598"/>
    <cellStyle name="40% - 强调文字颜色 3 2 5 2 2" xfId="5896"/>
    <cellStyle name="40% - 强调文字颜色 3 2 5 2 3" xfId="5897"/>
    <cellStyle name="40% - 强调文字颜色 3 2 5 2 3 2" xfId="5898"/>
    <cellStyle name="40% - 强调文字颜色 3 2 6" xfId="2458"/>
    <cellStyle name="40% - 强调文字颜色 3 2 6 2" xfId="5899"/>
    <cellStyle name="40% - 强调文字颜色 3 2 6 3" xfId="5900"/>
    <cellStyle name="40% - 强调文字颜色 3 2 6 3 2" xfId="5901"/>
    <cellStyle name="40% - 强调文字颜色 3 2 7" xfId="3585"/>
    <cellStyle name="40% - 强调文字颜色 3 2 7 2" xfId="5902"/>
    <cellStyle name="40% - 强调文字颜色 3 2 7 3" xfId="5903"/>
    <cellStyle name="40% - 强调文字颜色 3 2 7 3 2" xfId="5904"/>
    <cellStyle name="40% - 强调文字颜色 3 2 8" xfId="5905"/>
    <cellStyle name="40% - 强调文字颜色 3 2 8 2" xfId="5906"/>
    <cellStyle name="40% - 强调文字颜色 3 2 8 2 2" xfId="5907"/>
    <cellStyle name="40% - 强调文字颜色 3 2 9" xfId="5908"/>
    <cellStyle name="40% - 强调文字颜色 3 2 9 2" xfId="5909"/>
    <cellStyle name="40% - 强调文字颜色 3 2 9 2 2" xfId="5910"/>
    <cellStyle name="40% - 强调文字颜色 3 2_2015财政决算公开" xfId="3599"/>
    <cellStyle name="40% - 强调文字颜色 3 3" xfId="783"/>
    <cellStyle name="40% - 强调文字颜色 3 3 2" xfId="786"/>
    <cellStyle name="40% - 强调文字颜色 3 3 2 2" xfId="789"/>
    <cellStyle name="40% - 强调文字颜色 3 3 2 2 2" xfId="790"/>
    <cellStyle name="40% - 强调文字颜色 3 3 2 2 2 2" xfId="3602"/>
    <cellStyle name="40% - 强调文字颜色 3 3 2 2 2 2 2" xfId="5911"/>
    <cellStyle name="40% - 强调文字颜色 3 3 2 2 2 2 3" xfId="5912"/>
    <cellStyle name="40% - 强调文字颜色 3 3 2 2 2 2 3 2" xfId="5913"/>
    <cellStyle name="40% - 强调文字颜色 3 3 2 2 3" xfId="3601"/>
    <cellStyle name="40% - 强调文字颜色 3 3 2 2 3 2" xfId="5914"/>
    <cellStyle name="40% - 强调文字颜色 3 3 2 2 3 3" xfId="5915"/>
    <cellStyle name="40% - 强调文字颜色 3 3 2 2 3 3 2" xfId="5916"/>
    <cellStyle name="40% - 强调文字颜色 3 3 2 2_2015财政决算公开" xfId="3603"/>
    <cellStyle name="40% - 强调文字颜色 3 3 2 3" xfId="792"/>
    <cellStyle name="40% - 强调文字颜色 3 3 2 3 2" xfId="3604"/>
    <cellStyle name="40% - 强调文字颜色 3 3 2 3 2 2" xfId="5917"/>
    <cellStyle name="40% - 强调文字颜色 3 3 2 3 2 3" xfId="5918"/>
    <cellStyle name="40% - 强调文字颜色 3 3 2 3 2 3 2" xfId="5919"/>
    <cellStyle name="40% - 强调文字颜色 3 3 2 4" xfId="3600"/>
    <cellStyle name="40% - 强调文字颜色 3 3 2 4 2" xfId="5920"/>
    <cellStyle name="40% - 强调文字颜色 3 3 2 4 3" xfId="5921"/>
    <cellStyle name="40% - 强调文字颜色 3 3 2 4 3 2" xfId="5922"/>
    <cellStyle name="40% - 强调文字颜色 3 3 2_2015财政决算公开" xfId="3605"/>
    <cellStyle name="40% - 强调文字颜色 3 3 3" xfId="795"/>
    <cellStyle name="40% - 强调文字颜色 3 3 3 2" xfId="768"/>
    <cellStyle name="40% - 强调文字颜色 3 3 3 2 2" xfId="3607"/>
    <cellStyle name="40% - 强调文字颜色 3 3 3 2 2 2" xfId="5923"/>
    <cellStyle name="40% - 强调文字颜色 3 3 3 2 2 3" xfId="5924"/>
    <cellStyle name="40% - 强调文字颜色 3 3 3 2 2 3 2" xfId="5925"/>
    <cellStyle name="40% - 强调文字颜色 3 3 3 3" xfId="3606"/>
    <cellStyle name="40% - 强调文字颜色 3 3 3 3 2" xfId="5926"/>
    <cellStyle name="40% - 强调文字颜色 3 3 3 3 3" xfId="5927"/>
    <cellStyle name="40% - 强调文字颜色 3 3 3 3 3 2" xfId="5928"/>
    <cellStyle name="40% - 强调文字颜色 3 3 3_2015财政决算公开" xfId="3608"/>
    <cellStyle name="40% - 强调文字颜色 3 3 4" xfId="798"/>
    <cellStyle name="40% - 强调文字颜色 3 3 4 2" xfId="3609"/>
    <cellStyle name="40% - 强调文字颜色 3 3 4 2 2" xfId="5929"/>
    <cellStyle name="40% - 强调文字颜色 3 3 4 2 3" xfId="5930"/>
    <cellStyle name="40% - 强调文字颜色 3 3 4 2 3 2" xfId="5931"/>
    <cellStyle name="40% - 强调文字颜色 3 3 5" xfId="2464"/>
    <cellStyle name="40% - 强调文字颜色 3 3 5 2" xfId="5932"/>
    <cellStyle name="40% - 强调文字颜色 3 3 5 3" xfId="5933"/>
    <cellStyle name="40% - 强调文字颜色 3 3 5 3 2" xfId="5934"/>
    <cellStyle name="40% - 强调文字颜色 3 3_2015财政决算公开" xfId="3610"/>
    <cellStyle name="40% - 强调文字颜色 3 4" xfId="799"/>
    <cellStyle name="40% - 强调文字颜色 3 4 2" xfId="800"/>
    <cellStyle name="40% - 强调文字颜色 3 4 2 2" xfId="684"/>
    <cellStyle name="40% - 强调文字颜色 3 4 2 2 2" xfId="3613"/>
    <cellStyle name="40% - 强调文字颜色 3 4 2 2 2 2" xfId="5935"/>
    <cellStyle name="40% - 强调文字颜色 3 4 2 2 2 3" xfId="5936"/>
    <cellStyle name="40% - 强调文字颜色 3 4 2 2 2 3 2" xfId="5937"/>
    <cellStyle name="40% - 强调文字颜色 3 4 2 3" xfId="3612"/>
    <cellStyle name="40% - 强调文字颜色 3 4 2 3 2" xfId="5938"/>
    <cellStyle name="40% - 强调文字颜色 3 4 2 3 3" xfId="5939"/>
    <cellStyle name="40% - 强调文字颜色 3 4 2 3 3 2" xfId="5940"/>
    <cellStyle name="40% - 强调文字颜色 3 4 2_2015财政决算公开" xfId="3614"/>
    <cellStyle name="40% - 强调文字颜色 3 4 3" xfId="801"/>
    <cellStyle name="40% - 强调文字颜色 3 4 3 2" xfId="3615"/>
    <cellStyle name="40% - 强调文字颜色 3 4 3 2 2" xfId="5941"/>
    <cellStyle name="40% - 强调文字颜色 3 4 3 2 3" xfId="5942"/>
    <cellStyle name="40% - 强调文字颜色 3 4 3 2 3 2" xfId="5943"/>
    <cellStyle name="40% - 强调文字颜色 3 4 4" xfId="3611"/>
    <cellStyle name="40% - 强调文字颜色 3 4 4 2" xfId="5944"/>
    <cellStyle name="40% - 强调文字颜色 3 4 4 3" xfId="5945"/>
    <cellStyle name="40% - 强调文字颜色 3 4 4 3 2" xfId="5946"/>
    <cellStyle name="40% - 强调文字颜色 3 4_2015财政决算公开" xfId="3616"/>
    <cellStyle name="40% - 强调文字颜色 3 5" xfId="802"/>
    <cellStyle name="40% - 强调文字颜色 3 5 2" xfId="803"/>
    <cellStyle name="40% - 强调文字颜色 3 5 2 2" xfId="804"/>
    <cellStyle name="40% - 强调文字颜色 3 5 2 2 2" xfId="3619"/>
    <cellStyle name="40% - 强调文字颜色 3 5 2 2 2 2" xfId="5947"/>
    <cellStyle name="40% - 强调文字颜色 3 5 2 2 2 3" xfId="5948"/>
    <cellStyle name="40% - 强调文字颜色 3 5 2 2 2 3 2" xfId="5949"/>
    <cellStyle name="40% - 强调文字颜色 3 5 2 3" xfId="3618"/>
    <cellStyle name="40% - 强调文字颜色 3 5 2 3 2" xfId="5950"/>
    <cellStyle name="40% - 强调文字颜色 3 5 2 3 3" xfId="5951"/>
    <cellStyle name="40% - 强调文字颜色 3 5 2 3 3 2" xfId="5952"/>
    <cellStyle name="40% - 强调文字颜色 3 5 2_2015财政决算公开" xfId="3620"/>
    <cellStyle name="40% - 强调文字颜色 3 5 3" xfId="805"/>
    <cellStyle name="40% - 强调文字颜色 3 5 3 2" xfId="3621"/>
    <cellStyle name="40% - 强调文字颜色 3 5 3 2 2" xfId="5953"/>
    <cellStyle name="40% - 强调文字颜色 3 5 3 2 3" xfId="5954"/>
    <cellStyle name="40% - 强调文字颜色 3 5 3 2 3 2" xfId="5955"/>
    <cellStyle name="40% - 强调文字颜色 3 5 4" xfId="3617"/>
    <cellStyle name="40% - 强调文字颜色 3 5 4 2" xfId="5956"/>
    <cellStyle name="40% - 强调文字颜色 3 5 4 3" xfId="5957"/>
    <cellStyle name="40% - 强调文字颜色 3 5 4 3 2" xfId="5958"/>
    <cellStyle name="40% - 强调文字颜色 3 5_2015财政决算公开" xfId="3622"/>
    <cellStyle name="40% - 强调文字颜色 3 6" xfId="806"/>
    <cellStyle name="40% - 强调文字颜色 3 6 2" xfId="807"/>
    <cellStyle name="40% - 强调文字颜色 3 6 2 2" xfId="3624"/>
    <cellStyle name="40% - 强调文字颜色 3 6 2 2 2" xfId="5959"/>
    <cellStyle name="40% - 强调文字颜色 3 6 2 2 3" xfId="5960"/>
    <cellStyle name="40% - 强调文字颜色 3 6 2 2 3 2" xfId="5961"/>
    <cellStyle name="40% - 强调文字颜色 3 6 3" xfId="3623"/>
    <cellStyle name="40% - 强调文字颜色 3 6 3 2" xfId="5962"/>
    <cellStyle name="40% - 强调文字颜色 3 6 3 3" xfId="5963"/>
    <cellStyle name="40% - 强调文字颜色 3 6 3 3 2" xfId="5964"/>
    <cellStyle name="40% - 强调文字颜色 3 6_2015财政决算公开" xfId="3625"/>
    <cellStyle name="40% - 强调文字颜色 3 7" xfId="493"/>
    <cellStyle name="40% - 强调文字颜色 3 7 2" xfId="3626"/>
    <cellStyle name="40% - 强调文字颜色 3 7 2 2" xfId="5965"/>
    <cellStyle name="40% - 强调文字颜色 3 7 2 3" xfId="5966"/>
    <cellStyle name="40% - 强调文字颜色 3 7 2 3 2" xfId="5967"/>
    <cellStyle name="40% - 强调文字颜色 3 8" xfId="2457"/>
    <cellStyle name="40% - 强调文字颜色 3 8 2" xfId="5968"/>
    <cellStyle name="40% - 强调文字颜色 3 8 3" xfId="5969"/>
    <cellStyle name="40% - 强调文字颜色 3 8 3 2" xfId="5970"/>
    <cellStyle name="40% - 强调文字颜色 3 9" xfId="3584"/>
    <cellStyle name="40% - 强调文字颜色 3 9 2" xfId="5971"/>
    <cellStyle name="40% - 强调文字颜色 3 9 3" xfId="5972"/>
    <cellStyle name="40% - 强调文字颜色 3 9 3 2" xfId="5973"/>
    <cellStyle name="40% - 强调文字颜色 4" xfId="808"/>
    <cellStyle name="40% - 强调文字颜色 4 10" xfId="5974"/>
    <cellStyle name="40% - 强调文字颜色 4 10 2" xfId="5975"/>
    <cellStyle name="40% - 强调文字颜色 4 10 2 2" xfId="5976"/>
    <cellStyle name="40% - 强调文字颜色 4 2" xfId="809"/>
    <cellStyle name="40% - 强调文字颜色 4 2 10" xfId="5977"/>
    <cellStyle name="40% - 强调文字颜色 4 2 10 2" xfId="5978"/>
    <cellStyle name="40% - 强调文字颜色 4 2 10 2 2" xfId="5979"/>
    <cellStyle name="40% - 强调文字颜色 4 2 2" xfId="810"/>
    <cellStyle name="40% - 强调文字颜色 4 2 2 2" xfId="811"/>
    <cellStyle name="40% - 强调文字颜色 4 2 2 2 2" xfId="812"/>
    <cellStyle name="40% - 强调文字颜色 4 2 2 2 2 2" xfId="3629"/>
    <cellStyle name="40% - 强调文字颜色 4 2 2 2 2 2 2" xfId="5980"/>
    <cellStyle name="40% - 强调文字颜色 4 2 2 2 2 2 3" xfId="5981"/>
    <cellStyle name="40% - 强调文字颜色 4 2 2 2 2 2 3 2" xfId="5982"/>
    <cellStyle name="40% - 强调文字颜色 4 2 2 2 3" xfId="2468"/>
    <cellStyle name="40% - 强调文字颜色 4 2 2 2 3 2" xfId="5983"/>
    <cellStyle name="40% - 强调文字颜色 4 2 2 2 3 3" xfId="5984"/>
    <cellStyle name="40% - 强调文字颜色 4 2 2 2 3 3 2" xfId="5985"/>
    <cellStyle name="40% - 强调文字颜色 4 2 2 2_2015财政决算公开" xfId="3630"/>
    <cellStyle name="40% - 强调文字颜色 4 2 2 3" xfId="814"/>
    <cellStyle name="40% - 强调文字颜色 4 2 2 3 2" xfId="2469"/>
    <cellStyle name="40% - 强调文字颜色 4 2 2 3 2 2" xfId="5986"/>
    <cellStyle name="40% - 强调文字颜色 4 2 2 3 2 3" xfId="5987"/>
    <cellStyle name="40% - 强调文字颜色 4 2 2 3 2 3 2" xfId="5988"/>
    <cellStyle name="40% - 强调文字颜色 4 2 2 4" xfId="2467"/>
    <cellStyle name="40% - 强调文字颜色 4 2 2 4 2" xfId="5989"/>
    <cellStyle name="40% - 强调文字颜色 4 2 2 4 3" xfId="5990"/>
    <cellStyle name="40% - 强调文字颜色 4 2 2 4 3 2" xfId="5991"/>
    <cellStyle name="40% - 强调文字颜色 4 2 2_2015财政决算公开" xfId="3631"/>
    <cellStyle name="40% - 强调文字颜色 4 2 3" xfId="815"/>
    <cellStyle name="40% - 强调文字颜色 4 2 3 2" xfId="818"/>
    <cellStyle name="40% - 强调文字颜色 4 2 3 2 2" xfId="821"/>
    <cellStyle name="40% - 强调文字颜色 4 2 3 2 2 2" xfId="3634"/>
    <cellStyle name="40% - 强调文字颜色 4 2 3 2 2 2 2" xfId="5992"/>
    <cellStyle name="40% - 强调文字颜色 4 2 3 2 2 2 3" xfId="5993"/>
    <cellStyle name="40% - 强调文字颜色 4 2 3 2 2 2 3 2" xfId="5994"/>
    <cellStyle name="40% - 强调文字颜色 4 2 3 2 3" xfId="3633"/>
    <cellStyle name="40% - 强调文字颜色 4 2 3 2 3 2" xfId="5995"/>
    <cellStyle name="40% - 强调文字颜色 4 2 3 2 3 3" xfId="5996"/>
    <cellStyle name="40% - 强调文字颜色 4 2 3 2 3 3 2" xfId="5997"/>
    <cellStyle name="40% - 强调文字颜色 4 2 3 2_2015财政决算公开" xfId="3635"/>
    <cellStyle name="40% - 强调文字颜色 4 2 3 3" xfId="824"/>
    <cellStyle name="40% - 强调文字颜色 4 2 3 3 2" xfId="3636"/>
    <cellStyle name="40% - 强调文字颜色 4 2 3 3 2 2" xfId="5998"/>
    <cellStyle name="40% - 强调文字颜色 4 2 3 3 2 3" xfId="5999"/>
    <cellStyle name="40% - 强调文字颜色 4 2 3 3 2 3 2" xfId="6000"/>
    <cellStyle name="40% - 强调文字颜色 4 2 3 4" xfId="2470"/>
    <cellStyle name="40% - 强调文字颜色 4 2 3 4 2" xfId="6001"/>
    <cellStyle name="40% - 强调文字颜色 4 2 3 4 3" xfId="6002"/>
    <cellStyle name="40% - 强调文字颜色 4 2 3 4 3 2" xfId="6003"/>
    <cellStyle name="40% - 强调文字颜色 4 2 3 5" xfId="3632"/>
    <cellStyle name="40% - 强调文字颜色 4 2 3 5 2" xfId="6004"/>
    <cellStyle name="40% - 强调文字颜色 4 2 3 5 3" xfId="6005"/>
    <cellStyle name="40% - 强调文字颜色 4 2 3 5 3 2" xfId="6006"/>
    <cellStyle name="40% - 强调文字颜色 4 2 3_2015财政决算公开" xfId="3637"/>
    <cellStyle name="40% - 强调文字颜色 4 2 4" xfId="825"/>
    <cellStyle name="40% - 强调文字颜色 4 2 4 2" xfId="827"/>
    <cellStyle name="40% - 强调文字颜色 4 2 4 2 2" xfId="3639"/>
    <cellStyle name="40% - 强调文字颜色 4 2 4 2 2 2" xfId="6007"/>
    <cellStyle name="40% - 强调文字颜色 4 2 4 2 2 3" xfId="6008"/>
    <cellStyle name="40% - 强调文字颜色 4 2 4 2 2 3 2" xfId="6009"/>
    <cellStyle name="40% - 强调文字颜色 4 2 4 3" xfId="2471"/>
    <cellStyle name="40% - 强调文字颜色 4 2 4 3 2" xfId="6010"/>
    <cellStyle name="40% - 强调文字颜色 4 2 4 3 3" xfId="6011"/>
    <cellStyle name="40% - 强调文字颜色 4 2 4 3 3 2" xfId="6012"/>
    <cellStyle name="40% - 强调文字颜色 4 2 4 4" xfId="3638"/>
    <cellStyle name="40% - 强调文字颜色 4 2 4 4 2" xfId="6013"/>
    <cellStyle name="40% - 强调文字颜色 4 2 4 4 3" xfId="6014"/>
    <cellStyle name="40% - 强调文字颜色 4 2 4 4 3 2" xfId="6015"/>
    <cellStyle name="40% - 强调文字颜色 4 2 4_2015财政决算公开" xfId="3640"/>
    <cellStyle name="40% - 强调文字颜色 4 2 5" xfId="828"/>
    <cellStyle name="40% - 强调文字颜色 4 2 5 2" xfId="3641"/>
    <cellStyle name="40% - 强调文字颜色 4 2 5 2 2" xfId="6016"/>
    <cellStyle name="40% - 强调文字颜色 4 2 5 2 3" xfId="6017"/>
    <cellStyle name="40% - 强调文字颜色 4 2 5 2 3 2" xfId="6018"/>
    <cellStyle name="40% - 强调文字颜色 4 2 6" xfId="2466"/>
    <cellStyle name="40% - 强调文字颜色 4 2 6 2" xfId="6019"/>
    <cellStyle name="40% - 强调文字颜色 4 2 6 3" xfId="6020"/>
    <cellStyle name="40% - 强调文字颜色 4 2 6 3 2" xfId="6021"/>
    <cellStyle name="40% - 强调文字颜色 4 2 7" xfId="3628"/>
    <cellStyle name="40% - 强调文字颜色 4 2 7 2" xfId="6022"/>
    <cellStyle name="40% - 强调文字颜色 4 2 7 3" xfId="6023"/>
    <cellStyle name="40% - 强调文字颜色 4 2 7 3 2" xfId="6024"/>
    <cellStyle name="40% - 强调文字颜色 4 2 8" xfId="6025"/>
    <cellStyle name="40% - 强调文字颜色 4 2 8 2" xfId="6026"/>
    <cellStyle name="40% - 强调文字颜色 4 2 8 2 2" xfId="6027"/>
    <cellStyle name="40% - 强调文字颜色 4 2 9" xfId="6028"/>
    <cellStyle name="40% - 强调文字颜色 4 2 9 2" xfId="6029"/>
    <cellStyle name="40% - 强调文字颜色 4 2 9 2 2" xfId="6030"/>
    <cellStyle name="40% - 强调文字颜色 4 2_2015财政决算公开" xfId="3642"/>
    <cellStyle name="40% - 强调文字颜色 4 3" xfId="829"/>
    <cellStyle name="40% - 强调文字颜色 4 3 2" xfId="830"/>
    <cellStyle name="40% - 强调文字颜色 4 3 2 2" xfId="831"/>
    <cellStyle name="40% - 强调文字颜色 4 3 2 2 2" xfId="832"/>
    <cellStyle name="40% - 强调文字颜色 4 3 2 2 2 2" xfId="3645"/>
    <cellStyle name="40% - 强调文字颜色 4 3 2 2 2 2 2" xfId="6031"/>
    <cellStyle name="40% - 强调文字颜色 4 3 2 2 2 2 3" xfId="6032"/>
    <cellStyle name="40% - 强调文字颜色 4 3 2 2 2 2 3 2" xfId="6033"/>
    <cellStyle name="40% - 强调文字颜色 4 3 2 2 3" xfId="3644"/>
    <cellStyle name="40% - 强调文字颜色 4 3 2 2 3 2" xfId="6034"/>
    <cellStyle name="40% - 强调文字颜色 4 3 2 2 3 3" xfId="6035"/>
    <cellStyle name="40% - 强调文字颜色 4 3 2 2 3 3 2" xfId="6036"/>
    <cellStyle name="40% - 强调文字颜色 4 3 2 2_2015财政决算公开" xfId="3646"/>
    <cellStyle name="40% - 强调文字颜色 4 3 2 3" xfId="834"/>
    <cellStyle name="40% - 强调文字颜色 4 3 2 3 2" xfId="3647"/>
    <cellStyle name="40% - 强调文字颜色 4 3 2 3 2 2" xfId="6037"/>
    <cellStyle name="40% - 强调文字颜色 4 3 2 3 2 3" xfId="6038"/>
    <cellStyle name="40% - 强调文字颜色 4 3 2 3 2 3 2" xfId="6039"/>
    <cellStyle name="40% - 强调文字颜色 4 3 2 4" xfId="3643"/>
    <cellStyle name="40% - 强调文字颜色 4 3 2 4 2" xfId="6040"/>
    <cellStyle name="40% - 强调文字颜色 4 3 2 4 3" xfId="6041"/>
    <cellStyle name="40% - 强调文字颜色 4 3 2 4 3 2" xfId="6042"/>
    <cellStyle name="40% - 强调文字颜色 4 3 2_2015财政决算公开" xfId="3648"/>
    <cellStyle name="40% - 强调文字颜色 4 3 3" xfId="835"/>
    <cellStyle name="40% - 强调文字颜色 4 3 3 2" xfId="837"/>
    <cellStyle name="40% - 强调文字颜色 4 3 3 2 2" xfId="3650"/>
    <cellStyle name="40% - 强调文字颜色 4 3 3 2 2 2" xfId="6043"/>
    <cellStyle name="40% - 强调文字颜色 4 3 3 2 2 3" xfId="6044"/>
    <cellStyle name="40% - 强调文字颜色 4 3 3 2 2 3 2" xfId="6045"/>
    <cellStyle name="40% - 强调文字颜色 4 3 3 3" xfId="3649"/>
    <cellStyle name="40% - 强调文字颜色 4 3 3 3 2" xfId="6046"/>
    <cellStyle name="40% - 强调文字颜色 4 3 3 3 3" xfId="6047"/>
    <cellStyle name="40% - 强调文字颜色 4 3 3 3 3 2" xfId="6048"/>
    <cellStyle name="40% - 强调文字颜色 4 3 3_2015财政决算公开" xfId="3651"/>
    <cellStyle name="40% - 强调文字颜色 4 3 4" xfId="838"/>
    <cellStyle name="40% - 强调文字颜色 4 3 4 2" xfId="3652"/>
    <cellStyle name="40% - 强调文字颜色 4 3 4 2 2" xfId="6049"/>
    <cellStyle name="40% - 强调文字颜色 4 3 4 2 3" xfId="6050"/>
    <cellStyle name="40% - 强调文字颜色 4 3 4 2 3 2" xfId="6051"/>
    <cellStyle name="40% - 强调文字颜色 4 3 5" xfId="2472"/>
    <cellStyle name="40% - 强调文字颜色 4 3 5 2" xfId="6052"/>
    <cellStyle name="40% - 强调文字颜色 4 3 5 3" xfId="6053"/>
    <cellStyle name="40% - 强调文字颜色 4 3 5 3 2" xfId="6054"/>
    <cellStyle name="40% - 强调文字颜色 4 3_2015财政决算公开" xfId="3653"/>
    <cellStyle name="40% - 强调文字颜色 4 4" xfId="839"/>
    <cellStyle name="40% - 强调文字颜色 4 4 2" xfId="840"/>
    <cellStyle name="40% - 强调文字颜色 4 4 2 2" xfId="841"/>
    <cellStyle name="40% - 强调文字颜色 4 4 2 2 2" xfId="3656"/>
    <cellStyle name="40% - 强调文字颜色 4 4 2 2 2 2" xfId="6055"/>
    <cellStyle name="40% - 强调文字颜色 4 4 2 2 2 3" xfId="6056"/>
    <cellStyle name="40% - 强调文字颜色 4 4 2 2 2 3 2" xfId="6057"/>
    <cellStyle name="40% - 强调文字颜色 4 4 2 3" xfId="3655"/>
    <cellStyle name="40% - 强调文字颜色 4 4 2 3 2" xfId="6058"/>
    <cellStyle name="40% - 强调文字颜色 4 4 2 3 3" xfId="6059"/>
    <cellStyle name="40% - 强调文字颜色 4 4 2 3 3 2" xfId="6060"/>
    <cellStyle name="40% - 强调文字颜色 4 4 2_2015财政决算公开" xfId="3657"/>
    <cellStyle name="40% - 强调文字颜色 4 4 3" xfId="842"/>
    <cellStyle name="40% - 强调文字颜色 4 4 3 2" xfId="3658"/>
    <cellStyle name="40% - 强调文字颜色 4 4 3 2 2" xfId="6061"/>
    <cellStyle name="40% - 强调文字颜色 4 4 3 2 3" xfId="6062"/>
    <cellStyle name="40% - 强调文字颜色 4 4 3 2 3 2" xfId="6063"/>
    <cellStyle name="40% - 强调文字颜色 4 4 4" xfId="3654"/>
    <cellStyle name="40% - 强调文字颜色 4 4 4 2" xfId="6064"/>
    <cellStyle name="40% - 强调文字颜色 4 4 4 3" xfId="6065"/>
    <cellStyle name="40% - 强调文字颜色 4 4 4 3 2" xfId="6066"/>
    <cellStyle name="40% - 强调文字颜色 4 4_2015财政决算公开" xfId="3659"/>
    <cellStyle name="40% - 强调文字颜色 4 5" xfId="843"/>
    <cellStyle name="40% - 强调文字颜色 4 5 2" xfId="844"/>
    <cellStyle name="40% - 强调文字颜色 4 5 2 2" xfId="845"/>
    <cellStyle name="40% - 强调文字颜色 4 5 2 2 2" xfId="3662"/>
    <cellStyle name="40% - 强调文字颜色 4 5 2 2 2 2" xfId="6067"/>
    <cellStyle name="40% - 强调文字颜色 4 5 2 2 2 3" xfId="6068"/>
    <cellStyle name="40% - 强调文字颜色 4 5 2 2 2 3 2" xfId="6069"/>
    <cellStyle name="40% - 强调文字颜色 4 5 2 3" xfId="3661"/>
    <cellStyle name="40% - 强调文字颜色 4 5 2 3 2" xfId="6070"/>
    <cellStyle name="40% - 强调文字颜色 4 5 2 3 3" xfId="6071"/>
    <cellStyle name="40% - 强调文字颜色 4 5 2 3 3 2" xfId="6072"/>
    <cellStyle name="40% - 强调文字颜色 4 5 2_2015财政决算公开" xfId="3663"/>
    <cellStyle name="40% - 强调文字颜色 4 5 3" xfId="846"/>
    <cellStyle name="40% - 强调文字颜色 4 5 3 2" xfId="3664"/>
    <cellStyle name="40% - 强调文字颜色 4 5 3 2 2" xfId="6073"/>
    <cellStyle name="40% - 强调文字颜色 4 5 3 2 3" xfId="6074"/>
    <cellStyle name="40% - 强调文字颜色 4 5 3 2 3 2" xfId="6075"/>
    <cellStyle name="40% - 强调文字颜色 4 5 4" xfId="3660"/>
    <cellStyle name="40% - 强调文字颜色 4 5 4 2" xfId="6076"/>
    <cellStyle name="40% - 强调文字颜色 4 5 4 3" xfId="6077"/>
    <cellStyle name="40% - 强调文字颜色 4 5 4 3 2" xfId="6078"/>
    <cellStyle name="40% - 强调文字颜色 4 5_2015财政决算公开" xfId="3665"/>
    <cellStyle name="40% - 强调文字颜色 4 6" xfId="847"/>
    <cellStyle name="40% - 强调文字颜色 4 6 2" xfId="848"/>
    <cellStyle name="40% - 强调文字颜色 4 6 2 2" xfId="3667"/>
    <cellStyle name="40% - 强调文字颜色 4 6 2 2 2" xfId="6079"/>
    <cellStyle name="40% - 强调文字颜色 4 6 2 2 3" xfId="6080"/>
    <cellStyle name="40% - 强调文字颜色 4 6 2 2 3 2" xfId="6081"/>
    <cellStyle name="40% - 强调文字颜色 4 6 3" xfId="3666"/>
    <cellStyle name="40% - 强调文字颜色 4 6 3 2" xfId="6082"/>
    <cellStyle name="40% - 强调文字颜色 4 6 3 3" xfId="6083"/>
    <cellStyle name="40% - 强调文字颜色 4 6 3 3 2" xfId="6084"/>
    <cellStyle name="40% - 强调文字颜色 4 6_2015财政决算公开" xfId="3668"/>
    <cellStyle name="40% - 强调文字颜色 4 7" xfId="849"/>
    <cellStyle name="40% - 强调文字颜色 4 7 2" xfId="3669"/>
    <cellStyle name="40% - 强调文字颜色 4 7 2 2" xfId="6085"/>
    <cellStyle name="40% - 强调文字颜色 4 7 2 3" xfId="6086"/>
    <cellStyle name="40% - 强调文字颜色 4 7 2 3 2" xfId="6087"/>
    <cellStyle name="40% - 强调文字颜色 4 8" xfId="2465"/>
    <cellStyle name="40% - 强调文字颜色 4 8 2" xfId="6088"/>
    <cellStyle name="40% - 强调文字颜色 4 8 3" xfId="6089"/>
    <cellStyle name="40% - 强调文字颜色 4 8 3 2" xfId="6090"/>
    <cellStyle name="40% - 强调文字颜色 4 9" xfId="3627"/>
    <cellStyle name="40% - 强调文字颜色 4 9 2" xfId="6091"/>
    <cellStyle name="40% - 强调文字颜色 4 9 3" xfId="6092"/>
    <cellStyle name="40% - 强调文字颜色 4 9 3 2" xfId="6093"/>
    <cellStyle name="40% - 强调文字颜色 5" xfId="850"/>
    <cellStyle name="40% - 强调文字颜色 5 2" xfId="852"/>
    <cellStyle name="40% - 强调文字颜色 5 2 2" xfId="854"/>
    <cellStyle name="40% - 强调文字颜色 5 2 2 2" xfId="856"/>
    <cellStyle name="40% - 强调文字颜色 5 2 2 2 2" xfId="277"/>
    <cellStyle name="40% - 强调文字颜色 5 2 2 2 2 2" xfId="3670"/>
    <cellStyle name="40% - 强调文字颜色 5 2 2 2 2 2 2" xfId="6094"/>
    <cellStyle name="40% - 强调文字颜色 5 2 2 2 2 2 3" xfId="6095"/>
    <cellStyle name="40% - 强调文字颜色 5 2 2 2 2 2 3 2" xfId="6096"/>
    <cellStyle name="40% - 强调文字颜色 5 2 2 2 3" xfId="2476"/>
    <cellStyle name="40% - 强调文字颜色 5 2 2 2 3 2" xfId="6097"/>
    <cellStyle name="40% - 强调文字颜色 5 2 2 2 3 3" xfId="6098"/>
    <cellStyle name="40% - 强调文字颜色 5 2 2 2 3 3 2" xfId="6099"/>
    <cellStyle name="40% - 强调文字颜色 5 2 2 2_2015财政决算公开" xfId="3671"/>
    <cellStyle name="40% - 强调文字颜色 5 2 2 3" xfId="859"/>
    <cellStyle name="40% - 强调文字颜色 5 2 2 3 2" xfId="2477"/>
    <cellStyle name="40% - 强调文字颜色 5 2 2 3 2 2" xfId="6100"/>
    <cellStyle name="40% - 强调文字颜色 5 2 2 3 2 3" xfId="6101"/>
    <cellStyle name="40% - 强调文字颜色 5 2 2 3 2 3 2" xfId="6102"/>
    <cellStyle name="40% - 强调文字颜色 5 2 2 4" xfId="2475"/>
    <cellStyle name="40% - 强调文字颜色 5 2 2 4 2" xfId="6103"/>
    <cellStyle name="40% - 强调文字颜色 5 2 2 4 3" xfId="6104"/>
    <cellStyle name="40% - 强调文字颜色 5 2 2 4 3 2" xfId="6105"/>
    <cellStyle name="40% - 强调文字颜色 5 2 2_2015财政决算公开" xfId="3672"/>
    <cellStyle name="40% - 强调文字颜色 5 2 3" xfId="860"/>
    <cellStyle name="40% - 强调文字颜色 5 2 3 2" xfId="863"/>
    <cellStyle name="40% - 强调文字颜色 5 2 3 2 2" xfId="3673"/>
    <cellStyle name="40% - 强调文字颜色 5 2 3 2 2 2" xfId="6106"/>
    <cellStyle name="40% - 强调文字颜色 5 2 3 2 2 3" xfId="6107"/>
    <cellStyle name="40% - 强调文字颜色 5 2 3 2 2 3 2" xfId="6108"/>
    <cellStyle name="40% - 强调文字颜色 5 2 3 3" xfId="2478"/>
    <cellStyle name="40% - 强调文字颜色 5 2 3 3 2" xfId="6109"/>
    <cellStyle name="40% - 强调文字颜色 5 2 3 3 3" xfId="6110"/>
    <cellStyle name="40% - 强调文字颜色 5 2 3 3 3 2" xfId="6111"/>
    <cellStyle name="40% - 强调文字颜色 5 2 3_2015财政决算公开" xfId="3674"/>
    <cellStyle name="40% - 强调文字颜色 5 2 4" xfId="864"/>
    <cellStyle name="40% - 强调文字颜色 5 2 4 2" xfId="2479"/>
    <cellStyle name="40% - 强调文字颜色 5 2 4 2 2" xfId="6112"/>
    <cellStyle name="40% - 强调文字颜色 5 2 4 2 3" xfId="6113"/>
    <cellStyle name="40% - 强调文字颜色 5 2 4 2 3 2" xfId="6114"/>
    <cellStyle name="40% - 强调文字颜色 5 2 5" xfId="2474"/>
    <cellStyle name="40% - 强调文字颜色 5 2 5 2" xfId="6115"/>
    <cellStyle name="40% - 强调文字颜色 5 2 5 3" xfId="6116"/>
    <cellStyle name="40% - 强调文字颜色 5 2 5 3 2" xfId="6117"/>
    <cellStyle name="40% - 强调文字颜色 5 2_2015财政决算公开" xfId="3675"/>
    <cellStyle name="40% - 强调文字颜色 5 3" xfId="866"/>
    <cellStyle name="40% - 强调文字颜色 5 3 2" xfId="867"/>
    <cellStyle name="40% - 强调文字颜色 5 3 2 2" xfId="869"/>
    <cellStyle name="40% - 强调文字颜色 5 3 2 2 2" xfId="35"/>
    <cellStyle name="40% - 强调文字颜色 5 3 2 2 2 2" xfId="3678"/>
    <cellStyle name="40% - 强调文字颜色 5 3 2 2 2 2 2" xfId="6118"/>
    <cellStyle name="40% - 强调文字颜色 5 3 2 2 2 2 3" xfId="6119"/>
    <cellStyle name="40% - 强调文字颜色 5 3 2 2 2 2 3 2" xfId="6120"/>
    <cellStyle name="40% - 强调文字颜色 5 3 2 2 3" xfId="3677"/>
    <cellStyle name="40% - 强调文字颜色 5 3 2 2 3 2" xfId="6121"/>
    <cellStyle name="40% - 强调文字颜色 5 3 2 2 3 3" xfId="6122"/>
    <cellStyle name="40% - 强调文字颜色 5 3 2 2 3 3 2" xfId="6123"/>
    <cellStyle name="40% - 强调文字颜色 5 3 2 2_2015财政决算公开" xfId="3679"/>
    <cellStyle name="40% - 强调文字颜色 5 3 2 3" xfId="872"/>
    <cellStyle name="40% - 强调文字颜色 5 3 2 3 2" xfId="3680"/>
    <cellStyle name="40% - 强调文字颜色 5 3 2 3 2 2" xfId="6124"/>
    <cellStyle name="40% - 强调文字颜色 5 3 2 3 2 3" xfId="6125"/>
    <cellStyle name="40% - 强调文字颜色 5 3 2 3 2 3 2" xfId="6126"/>
    <cellStyle name="40% - 强调文字颜色 5 3 2 4" xfId="3676"/>
    <cellStyle name="40% - 强调文字颜色 5 3 2 4 2" xfId="6127"/>
    <cellStyle name="40% - 强调文字颜色 5 3 2 4 3" xfId="6128"/>
    <cellStyle name="40% - 强调文字颜色 5 3 2 4 3 2" xfId="6129"/>
    <cellStyle name="40% - 强调文字颜色 5 3 2_2015财政决算公开" xfId="3681"/>
    <cellStyle name="40% - 强调文字颜色 5 3 3" xfId="873"/>
    <cellStyle name="40% - 强调文字颜色 5 3 3 2" xfId="875"/>
    <cellStyle name="40% - 强调文字颜色 5 3 3 2 2" xfId="3683"/>
    <cellStyle name="40% - 强调文字颜色 5 3 3 2 2 2" xfId="6130"/>
    <cellStyle name="40% - 强调文字颜色 5 3 3 2 2 3" xfId="6131"/>
    <cellStyle name="40% - 强调文字颜色 5 3 3 2 2 3 2" xfId="6132"/>
    <cellStyle name="40% - 强调文字颜色 5 3 3 3" xfId="3682"/>
    <cellStyle name="40% - 强调文字颜色 5 3 3 3 2" xfId="6133"/>
    <cellStyle name="40% - 强调文字颜色 5 3 3 3 3" xfId="6134"/>
    <cellStyle name="40% - 强调文字颜色 5 3 3 3 3 2" xfId="6135"/>
    <cellStyle name="40% - 强调文字颜色 5 3 3_2015财政决算公开" xfId="3684"/>
    <cellStyle name="40% - 强调文字颜色 5 3 4" xfId="876"/>
    <cellStyle name="40% - 强调文字颜色 5 3 4 2" xfId="3685"/>
    <cellStyle name="40% - 强调文字颜色 5 3 4 2 2" xfId="6136"/>
    <cellStyle name="40% - 强调文字颜色 5 3 4 2 3" xfId="6137"/>
    <cellStyle name="40% - 强调文字颜色 5 3 4 2 3 2" xfId="6138"/>
    <cellStyle name="40% - 强调文字颜色 5 3 5" xfId="2480"/>
    <cellStyle name="40% - 强调文字颜色 5 3 5 2" xfId="6139"/>
    <cellStyle name="40% - 强调文字颜色 5 3 5 3" xfId="6140"/>
    <cellStyle name="40% - 强调文字颜色 5 3 5 3 2" xfId="6141"/>
    <cellStyle name="40% - 强调文字颜色 5 3_2015财政决算公开" xfId="3686"/>
    <cellStyle name="40% - 强调文字颜色 5 4" xfId="877"/>
    <cellStyle name="40% - 强调文字颜色 5 4 2" xfId="878"/>
    <cellStyle name="40% - 强调文字颜色 5 4 2 2" xfId="880"/>
    <cellStyle name="40% - 强调文字颜色 5 4 2 2 2" xfId="3689"/>
    <cellStyle name="40% - 强调文字颜色 5 4 2 2 2 2" xfId="6142"/>
    <cellStyle name="40% - 强调文字颜色 5 4 2 2 2 3" xfId="6143"/>
    <cellStyle name="40% - 强调文字颜色 5 4 2 2 2 3 2" xfId="6144"/>
    <cellStyle name="40% - 强调文字颜色 5 4 2 3" xfId="3688"/>
    <cellStyle name="40% - 强调文字颜色 5 4 2 3 2" xfId="6145"/>
    <cellStyle name="40% - 强调文字颜色 5 4 2 3 3" xfId="6146"/>
    <cellStyle name="40% - 强调文字颜色 5 4 2 3 3 2" xfId="6147"/>
    <cellStyle name="40% - 强调文字颜色 5 4 2_2015财政决算公开" xfId="3690"/>
    <cellStyle name="40% - 强调文字颜色 5 4 3" xfId="881"/>
    <cellStyle name="40% - 强调文字颜色 5 4 3 2" xfId="3691"/>
    <cellStyle name="40% - 强调文字颜色 5 4 3 2 2" xfId="6148"/>
    <cellStyle name="40% - 强调文字颜色 5 4 3 2 3" xfId="6149"/>
    <cellStyle name="40% - 强调文字颜色 5 4 3 2 3 2" xfId="6150"/>
    <cellStyle name="40% - 强调文字颜色 5 4 4" xfId="3687"/>
    <cellStyle name="40% - 强调文字颜色 5 4 4 2" xfId="6151"/>
    <cellStyle name="40% - 强调文字颜色 5 4 4 3" xfId="6152"/>
    <cellStyle name="40% - 强调文字颜色 5 4 4 3 2" xfId="6153"/>
    <cellStyle name="40% - 强调文字颜色 5 4_2015财政决算公开" xfId="3692"/>
    <cellStyle name="40% - 强调文字颜色 5 5" xfId="882"/>
    <cellStyle name="40% - 强调文字颜色 5 5 2" xfId="883"/>
    <cellStyle name="40% - 强调文字颜色 5 5 2 2" xfId="885"/>
    <cellStyle name="40% - 强调文字颜色 5 5 2 2 2" xfId="3695"/>
    <cellStyle name="40% - 强调文字颜色 5 5 2 2 2 2" xfId="6154"/>
    <cellStyle name="40% - 强调文字颜色 5 5 2 2 2 3" xfId="6155"/>
    <cellStyle name="40% - 强调文字颜色 5 5 2 2 2 3 2" xfId="6156"/>
    <cellStyle name="40% - 强调文字颜色 5 5 2 3" xfId="3694"/>
    <cellStyle name="40% - 强调文字颜色 5 5 2 3 2" xfId="6157"/>
    <cellStyle name="40% - 强调文字颜色 5 5 2 3 3" xfId="6158"/>
    <cellStyle name="40% - 强调文字颜色 5 5 2 3 3 2" xfId="6159"/>
    <cellStyle name="40% - 强调文字颜色 5 5 2_2015财政决算公开" xfId="3696"/>
    <cellStyle name="40% - 强调文字颜色 5 5 3" xfId="886"/>
    <cellStyle name="40% - 强调文字颜色 5 5 3 2" xfId="3697"/>
    <cellStyle name="40% - 强调文字颜色 5 5 3 2 2" xfId="6160"/>
    <cellStyle name="40% - 强调文字颜色 5 5 3 2 3" xfId="6161"/>
    <cellStyle name="40% - 强调文字颜色 5 5 3 2 3 2" xfId="6162"/>
    <cellStyle name="40% - 强调文字颜色 5 5 4" xfId="3693"/>
    <cellStyle name="40% - 强调文字颜色 5 5 4 2" xfId="6163"/>
    <cellStyle name="40% - 强调文字颜色 5 5 4 3" xfId="6164"/>
    <cellStyle name="40% - 强调文字颜色 5 5 4 3 2" xfId="6165"/>
    <cellStyle name="40% - 强调文字颜色 5 5_2015财政决算公开" xfId="3698"/>
    <cellStyle name="40% - 强调文字颜色 5 6" xfId="889"/>
    <cellStyle name="40% - 强调文字颜色 5 6 2" xfId="892"/>
    <cellStyle name="40% - 强调文字颜色 5 6 2 2" xfId="3700"/>
    <cellStyle name="40% - 强调文字颜色 5 6 2 2 2" xfId="6166"/>
    <cellStyle name="40% - 强调文字颜色 5 6 2 2 3" xfId="6167"/>
    <cellStyle name="40% - 强调文字颜色 5 6 2 2 3 2" xfId="6168"/>
    <cellStyle name="40% - 强调文字颜色 5 6 3" xfId="3699"/>
    <cellStyle name="40% - 强调文字颜色 5 6 3 2" xfId="6169"/>
    <cellStyle name="40% - 强调文字颜色 5 6 3 3" xfId="6170"/>
    <cellStyle name="40% - 强调文字颜色 5 6 3 3 2" xfId="6171"/>
    <cellStyle name="40% - 强调文字颜色 5 6_2015财政决算公开" xfId="3701"/>
    <cellStyle name="40% - 强调文字颜色 5 7" xfId="895"/>
    <cellStyle name="40% - 强调文字颜色 5 7 2" xfId="3702"/>
    <cellStyle name="40% - 强调文字颜色 5 7 2 2" xfId="6172"/>
    <cellStyle name="40% - 强调文字颜色 5 7 2 3" xfId="6173"/>
    <cellStyle name="40% - 强调文字颜色 5 7 2 3 2" xfId="6174"/>
    <cellStyle name="40% - 强调文字颜色 5 8" xfId="2473"/>
    <cellStyle name="40% - 强调文字颜色 5 8 2" xfId="6175"/>
    <cellStyle name="40% - 强调文字颜色 5 8 3" xfId="6176"/>
    <cellStyle name="40% - 强调文字颜色 5 8 3 2" xfId="6177"/>
    <cellStyle name="40% - 强调文字颜色 6" xfId="896"/>
    <cellStyle name="40% - 强调文字颜色 6 10" xfId="6178"/>
    <cellStyle name="40% - 强调文字颜色 6 10 2" xfId="6179"/>
    <cellStyle name="40% - 强调文字颜色 6 10 2 2" xfId="6180"/>
    <cellStyle name="40% - 强调文字颜色 6 2" xfId="898"/>
    <cellStyle name="40% - 强调文字颜色 6 2 10" xfId="6181"/>
    <cellStyle name="40% - 强调文字颜色 6 2 10 2" xfId="6182"/>
    <cellStyle name="40% - 强调文字颜色 6 2 10 2 2" xfId="6183"/>
    <cellStyle name="40% - 强调文字颜色 6 2 2" xfId="900"/>
    <cellStyle name="40% - 强调文字颜色 6 2 2 2" xfId="903"/>
    <cellStyle name="40% - 强调文字颜色 6 2 2 2 2" xfId="905"/>
    <cellStyle name="40% - 强调文字颜色 6 2 2 2 2 2" xfId="3705"/>
    <cellStyle name="40% - 强调文字颜色 6 2 2 2 2 2 2" xfId="6184"/>
    <cellStyle name="40% - 强调文字颜色 6 2 2 2 2 2 3" xfId="6185"/>
    <cellStyle name="40% - 强调文字颜色 6 2 2 2 2 2 3 2" xfId="6186"/>
    <cellStyle name="40% - 强调文字颜色 6 2 2 2 3" xfId="2484"/>
    <cellStyle name="40% - 强调文字颜色 6 2 2 2 3 2" xfId="6187"/>
    <cellStyle name="40% - 强调文字颜色 6 2 2 2 3 3" xfId="6188"/>
    <cellStyle name="40% - 强调文字颜色 6 2 2 2 3 3 2" xfId="6189"/>
    <cellStyle name="40% - 强调文字颜色 6 2 2 2_2015财政决算公开" xfId="3706"/>
    <cellStyle name="40% - 强调文字颜色 6 2 2 3" xfId="908"/>
    <cellStyle name="40% - 强调文字颜色 6 2 2 3 2" xfId="2485"/>
    <cellStyle name="40% - 强调文字颜色 6 2 2 3 2 2" xfId="6190"/>
    <cellStyle name="40% - 强调文字颜色 6 2 2 3 2 3" xfId="6191"/>
    <cellStyle name="40% - 强调文字颜色 6 2 2 3 2 3 2" xfId="6192"/>
    <cellStyle name="40% - 强调文字颜色 6 2 2 4" xfId="2483"/>
    <cellStyle name="40% - 强调文字颜色 6 2 2 4 2" xfId="6193"/>
    <cellStyle name="40% - 强调文字颜色 6 2 2 4 3" xfId="6194"/>
    <cellStyle name="40% - 强调文字颜色 6 2 2 4 3 2" xfId="6195"/>
    <cellStyle name="40% - 强调文字颜色 6 2 2_2015财政决算公开" xfId="3707"/>
    <cellStyle name="40% - 强调文字颜色 6 2 3" xfId="909"/>
    <cellStyle name="40% - 强调文字颜色 6 2 3 2" xfId="911"/>
    <cellStyle name="40% - 强调文字颜色 6 2 3 2 2" xfId="913"/>
    <cellStyle name="40% - 强调文字颜色 6 2 3 2 2 2" xfId="3710"/>
    <cellStyle name="40% - 强调文字颜色 6 2 3 2 2 2 2" xfId="6196"/>
    <cellStyle name="40% - 强调文字颜色 6 2 3 2 2 2 3" xfId="6197"/>
    <cellStyle name="40% - 强调文字颜色 6 2 3 2 2 2 3 2" xfId="6198"/>
    <cellStyle name="40% - 强调文字颜色 6 2 3 2 3" xfId="3709"/>
    <cellStyle name="40% - 强调文字颜色 6 2 3 2 3 2" xfId="6199"/>
    <cellStyle name="40% - 强调文字颜色 6 2 3 2 3 3" xfId="6200"/>
    <cellStyle name="40% - 强调文字颜色 6 2 3 2 3 3 2" xfId="6201"/>
    <cellStyle name="40% - 强调文字颜色 6 2 3 2_2015财政决算公开" xfId="3711"/>
    <cellStyle name="40% - 强调文字颜色 6 2 3 3" xfId="915"/>
    <cellStyle name="40% - 强调文字颜色 6 2 3 3 2" xfId="3712"/>
    <cellStyle name="40% - 强调文字颜色 6 2 3 3 2 2" xfId="6202"/>
    <cellStyle name="40% - 强调文字颜色 6 2 3 3 2 3" xfId="6203"/>
    <cellStyle name="40% - 强调文字颜色 6 2 3 3 2 3 2" xfId="6204"/>
    <cellStyle name="40% - 强调文字颜色 6 2 3 4" xfId="2486"/>
    <cellStyle name="40% - 强调文字颜色 6 2 3 4 2" xfId="6205"/>
    <cellStyle name="40% - 强调文字颜色 6 2 3 4 3" xfId="6206"/>
    <cellStyle name="40% - 强调文字颜色 6 2 3 4 3 2" xfId="6207"/>
    <cellStyle name="40% - 强调文字颜色 6 2 3 5" xfId="3708"/>
    <cellStyle name="40% - 强调文字颜色 6 2 3 5 2" xfId="6208"/>
    <cellStyle name="40% - 强调文字颜色 6 2 3 5 3" xfId="6209"/>
    <cellStyle name="40% - 强调文字颜色 6 2 3 5 3 2" xfId="6210"/>
    <cellStyle name="40% - 强调文字颜色 6 2 3_2015财政决算公开" xfId="3713"/>
    <cellStyle name="40% - 强调文字颜色 6 2 4" xfId="917"/>
    <cellStyle name="40% - 强调文字颜色 6 2 4 2" xfId="919"/>
    <cellStyle name="40% - 强调文字颜色 6 2 4 2 2" xfId="3715"/>
    <cellStyle name="40% - 强调文字颜色 6 2 4 2 2 2" xfId="6211"/>
    <cellStyle name="40% - 强调文字颜色 6 2 4 2 2 3" xfId="6212"/>
    <cellStyle name="40% - 强调文字颜色 6 2 4 2 2 3 2" xfId="6213"/>
    <cellStyle name="40% - 强调文字颜色 6 2 4 3" xfId="2487"/>
    <cellStyle name="40% - 强调文字颜色 6 2 4 3 2" xfId="6214"/>
    <cellStyle name="40% - 强调文字颜色 6 2 4 3 3" xfId="6215"/>
    <cellStyle name="40% - 强调文字颜色 6 2 4 3 3 2" xfId="6216"/>
    <cellStyle name="40% - 强调文字颜色 6 2 4 4" xfId="3714"/>
    <cellStyle name="40% - 强调文字颜色 6 2 4 4 2" xfId="6217"/>
    <cellStyle name="40% - 强调文字颜色 6 2 4 4 3" xfId="6218"/>
    <cellStyle name="40% - 强调文字颜色 6 2 4 4 3 2" xfId="6219"/>
    <cellStyle name="40% - 强调文字颜色 6 2 4_2015财政决算公开" xfId="3716"/>
    <cellStyle name="40% - 强调文字颜色 6 2 5" xfId="921"/>
    <cellStyle name="40% - 强调文字颜色 6 2 5 2" xfId="3717"/>
    <cellStyle name="40% - 强调文字颜色 6 2 5 2 2" xfId="6220"/>
    <cellStyle name="40% - 强调文字颜色 6 2 5 2 3" xfId="6221"/>
    <cellStyle name="40% - 强调文字颜色 6 2 5 2 3 2" xfId="6222"/>
    <cellStyle name="40% - 强调文字颜色 6 2 6" xfId="2482"/>
    <cellStyle name="40% - 强调文字颜色 6 2 6 2" xfId="6223"/>
    <cellStyle name="40% - 强调文字颜色 6 2 6 3" xfId="6224"/>
    <cellStyle name="40% - 强调文字颜色 6 2 6 3 2" xfId="6225"/>
    <cellStyle name="40% - 强调文字颜色 6 2 7" xfId="3704"/>
    <cellStyle name="40% - 强调文字颜色 6 2 7 2" xfId="6226"/>
    <cellStyle name="40% - 强调文字颜色 6 2 7 3" xfId="6227"/>
    <cellStyle name="40% - 强调文字颜色 6 2 7 3 2" xfId="6228"/>
    <cellStyle name="40% - 强调文字颜色 6 2 8" xfId="6229"/>
    <cellStyle name="40% - 强调文字颜色 6 2 8 2" xfId="6230"/>
    <cellStyle name="40% - 强调文字颜色 6 2 8 2 2" xfId="6231"/>
    <cellStyle name="40% - 强调文字颜色 6 2 9" xfId="6232"/>
    <cellStyle name="40% - 强调文字颜色 6 2 9 2" xfId="6233"/>
    <cellStyle name="40% - 强调文字颜色 6 2 9 2 2" xfId="6234"/>
    <cellStyle name="40% - 强调文字颜色 6 2_2015财政决算公开" xfId="3718"/>
    <cellStyle name="40% - 强调文字颜色 6 3" xfId="923"/>
    <cellStyle name="40% - 强调文字颜色 6 3 2" xfId="924"/>
    <cellStyle name="40% - 强调文字颜色 6 3 2 2" xfId="926"/>
    <cellStyle name="40% - 强调文字颜色 6 3 2 2 2" xfId="927"/>
    <cellStyle name="40% - 强调文字颜色 6 3 2 2 2 2" xfId="3721"/>
    <cellStyle name="40% - 强调文字颜色 6 3 2 2 2 2 2" xfId="6235"/>
    <cellStyle name="40% - 强调文字颜色 6 3 2 2 2 2 3" xfId="6236"/>
    <cellStyle name="40% - 强调文字颜色 6 3 2 2 2 2 3 2" xfId="6237"/>
    <cellStyle name="40% - 强调文字颜色 6 3 2 2 3" xfId="3720"/>
    <cellStyle name="40% - 强调文字颜色 6 3 2 2 3 2" xfId="6238"/>
    <cellStyle name="40% - 强调文字颜色 6 3 2 2 3 3" xfId="6239"/>
    <cellStyle name="40% - 强调文字颜色 6 3 2 2 3 3 2" xfId="6240"/>
    <cellStyle name="40% - 强调文字颜色 6 3 2 2_2015财政决算公开" xfId="3722"/>
    <cellStyle name="40% - 强调文字颜色 6 3 2 3" xfId="928"/>
    <cellStyle name="40% - 强调文字颜色 6 3 2 3 2" xfId="3723"/>
    <cellStyle name="40% - 强调文字颜色 6 3 2 3 2 2" xfId="6241"/>
    <cellStyle name="40% - 强调文字颜色 6 3 2 3 2 3" xfId="6242"/>
    <cellStyle name="40% - 强调文字颜色 6 3 2 3 2 3 2" xfId="6243"/>
    <cellStyle name="40% - 强调文字颜色 6 3 2 4" xfId="3719"/>
    <cellStyle name="40% - 强调文字颜色 6 3 2 4 2" xfId="6244"/>
    <cellStyle name="40% - 强调文字颜色 6 3 2 4 3" xfId="6245"/>
    <cellStyle name="40% - 强调文字颜色 6 3 2 4 3 2" xfId="6246"/>
    <cellStyle name="40% - 强调文字颜色 6 3 2_2015财政决算公开" xfId="3724"/>
    <cellStyle name="40% - 强调文字颜色 6 3 3" xfId="930"/>
    <cellStyle name="40% - 强调文字颜色 6 3 3 2" xfId="932"/>
    <cellStyle name="40% - 强调文字颜色 6 3 3 2 2" xfId="3726"/>
    <cellStyle name="40% - 强调文字颜色 6 3 3 2 2 2" xfId="6247"/>
    <cellStyle name="40% - 强调文字颜色 6 3 3 2 2 3" xfId="6248"/>
    <cellStyle name="40% - 强调文字颜色 6 3 3 2 2 3 2" xfId="6249"/>
    <cellStyle name="40% - 强调文字颜色 6 3 3 3" xfId="3725"/>
    <cellStyle name="40% - 强调文字颜色 6 3 3 3 2" xfId="6250"/>
    <cellStyle name="40% - 强调文字颜色 6 3 3 3 3" xfId="6251"/>
    <cellStyle name="40% - 强调文字颜色 6 3 3 3 3 2" xfId="6252"/>
    <cellStyle name="40% - 强调文字颜色 6 3 3_2015财政决算公开" xfId="3727"/>
    <cellStyle name="40% - 强调文字颜色 6 3 4" xfId="934"/>
    <cellStyle name="40% - 强调文字颜色 6 3 4 2" xfId="3728"/>
    <cellStyle name="40% - 强调文字颜色 6 3 4 2 2" xfId="6253"/>
    <cellStyle name="40% - 强调文字颜色 6 3 4 2 3" xfId="6254"/>
    <cellStyle name="40% - 强调文字颜色 6 3 4 2 3 2" xfId="6255"/>
    <cellStyle name="40% - 强调文字颜色 6 3 5" xfId="2488"/>
    <cellStyle name="40% - 强调文字颜色 6 3 5 2" xfId="6256"/>
    <cellStyle name="40% - 强调文字颜色 6 3 5 3" xfId="6257"/>
    <cellStyle name="40% - 强调文字颜色 6 3 5 3 2" xfId="6258"/>
    <cellStyle name="40% - 强调文字颜色 6 3_2015财政决算公开" xfId="3729"/>
    <cellStyle name="40% - 强调文字颜色 6 4" xfId="936"/>
    <cellStyle name="40% - 强调文字颜色 6 4 2" xfId="938"/>
    <cellStyle name="40% - 强调文字颜色 6 4 2 2" xfId="940"/>
    <cellStyle name="40% - 强调文字颜色 6 4 2 2 2" xfId="3732"/>
    <cellStyle name="40% - 强调文字颜色 6 4 2 2 2 2" xfId="6259"/>
    <cellStyle name="40% - 强调文字颜色 6 4 2 2 2 3" xfId="6260"/>
    <cellStyle name="40% - 强调文字颜色 6 4 2 2 2 3 2" xfId="6261"/>
    <cellStyle name="40% - 强调文字颜色 6 4 2 3" xfId="3731"/>
    <cellStyle name="40% - 强调文字颜色 6 4 2 3 2" xfId="6262"/>
    <cellStyle name="40% - 强调文字颜色 6 4 2 3 3" xfId="6263"/>
    <cellStyle name="40% - 强调文字颜色 6 4 2 3 3 2" xfId="6264"/>
    <cellStyle name="40% - 强调文字颜色 6 4 2_2015财政决算公开" xfId="3733"/>
    <cellStyle name="40% - 强调文字颜色 6 4 3" xfId="942"/>
    <cellStyle name="40% - 强调文字颜色 6 4 3 2" xfId="3734"/>
    <cellStyle name="40% - 强调文字颜色 6 4 3 2 2" xfId="6265"/>
    <cellStyle name="40% - 强调文字颜色 6 4 3 2 3" xfId="6266"/>
    <cellStyle name="40% - 强调文字颜色 6 4 3 2 3 2" xfId="6267"/>
    <cellStyle name="40% - 强调文字颜色 6 4 4" xfId="3730"/>
    <cellStyle name="40% - 强调文字颜色 6 4 4 2" xfId="6268"/>
    <cellStyle name="40% - 强调文字颜色 6 4 4 3" xfId="6269"/>
    <cellStyle name="40% - 强调文字颜色 6 4 4 3 2" xfId="6270"/>
    <cellStyle name="40% - 强调文字颜色 6 4_2015财政决算公开" xfId="3735"/>
    <cellStyle name="40% - 强调文字颜色 6 5" xfId="944"/>
    <cellStyle name="40% - 强调文字颜色 6 5 2" xfId="946"/>
    <cellStyle name="40% - 强调文字颜色 6 5 2 2" xfId="948"/>
    <cellStyle name="40% - 强调文字颜色 6 5 2 2 2" xfId="3738"/>
    <cellStyle name="40% - 强调文字颜色 6 5 2 2 2 2" xfId="6271"/>
    <cellStyle name="40% - 强调文字颜色 6 5 2 2 2 3" xfId="6272"/>
    <cellStyle name="40% - 强调文字颜色 6 5 2 2 2 3 2" xfId="6273"/>
    <cellStyle name="40% - 强调文字颜色 6 5 2 3" xfId="3737"/>
    <cellStyle name="40% - 强调文字颜色 6 5 2 3 2" xfId="6274"/>
    <cellStyle name="40% - 强调文字颜色 6 5 2 3 3" xfId="6275"/>
    <cellStyle name="40% - 强调文字颜色 6 5 2 3 3 2" xfId="6276"/>
    <cellStyle name="40% - 强调文字颜色 6 5 2_2015财政决算公开" xfId="3739"/>
    <cellStyle name="40% - 强调文字颜色 6 5 3" xfId="950"/>
    <cellStyle name="40% - 强调文字颜色 6 5 3 2" xfId="3740"/>
    <cellStyle name="40% - 强调文字颜色 6 5 3 2 2" xfId="6277"/>
    <cellStyle name="40% - 强调文字颜色 6 5 3 2 3" xfId="6278"/>
    <cellStyle name="40% - 强调文字颜色 6 5 3 2 3 2" xfId="6279"/>
    <cellStyle name="40% - 强调文字颜色 6 5 4" xfId="3736"/>
    <cellStyle name="40% - 强调文字颜色 6 5 4 2" xfId="6280"/>
    <cellStyle name="40% - 强调文字颜色 6 5 4 3" xfId="6281"/>
    <cellStyle name="40% - 强调文字颜色 6 5 4 3 2" xfId="6282"/>
    <cellStyle name="40% - 强调文字颜色 6 5_2015财政决算公开" xfId="3741"/>
    <cellStyle name="40% - 强调文字颜色 6 6" xfId="954"/>
    <cellStyle name="40% - 强调文字颜色 6 6 2" xfId="957"/>
    <cellStyle name="40% - 强调文字颜色 6 6 2 2" xfId="3743"/>
    <cellStyle name="40% - 强调文字颜色 6 6 2 2 2" xfId="6283"/>
    <cellStyle name="40% - 强调文字颜色 6 6 2 2 3" xfId="6284"/>
    <cellStyle name="40% - 强调文字颜色 6 6 2 2 3 2" xfId="6285"/>
    <cellStyle name="40% - 强调文字颜色 6 6 3" xfId="3742"/>
    <cellStyle name="40% - 强调文字颜色 6 6 3 2" xfId="6286"/>
    <cellStyle name="40% - 强调文字颜色 6 6 3 3" xfId="6287"/>
    <cellStyle name="40% - 强调文字颜色 6 6 3 3 2" xfId="6288"/>
    <cellStyle name="40% - 强调文字颜色 6 6_2015财政决算公开" xfId="3744"/>
    <cellStyle name="40% - 强调文字颜色 6 7" xfId="960"/>
    <cellStyle name="40% - 强调文字颜色 6 7 2" xfId="3745"/>
    <cellStyle name="40% - 强调文字颜色 6 7 2 2" xfId="6289"/>
    <cellStyle name="40% - 强调文字颜色 6 7 2 3" xfId="6290"/>
    <cellStyle name="40% - 强调文字颜色 6 7 2 3 2" xfId="6291"/>
    <cellStyle name="40% - 强调文字颜色 6 8" xfId="2481"/>
    <cellStyle name="40% - 强调文字颜色 6 8 2" xfId="6292"/>
    <cellStyle name="40% - 强调文字颜色 6 8 3" xfId="6293"/>
    <cellStyle name="40% - 强调文字颜色 6 8 3 2" xfId="6294"/>
    <cellStyle name="40% - 强调文字颜色 6 9" xfId="3703"/>
    <cellStyle name="40% - 强调文字颜色 6 9 2" xfId="6295"/>
    <cellStyle name="40% - 强调文字颜色 6 9 3" xfId="6296"/>
    <cellStyle name="40% - 强调文字颜色 6 9 3 2" xfId="6297"/>
    <cellStyle name="40% - 着色 1" xfId="2718"/>
    <cellStyle name="40% - 着色 2" xfId="2709"/>
    <cellStyle name="40% - 着色 2 2" xfId="2814"/>
    <cellStyle name="40% - 着色 3" xfId="2716"/>
    <cellStyle name="40% - 着色 3 2" xfId="2806"/>
    <cellStyle name="40% - 着色 4" xfId="2708"/>
    <cellStyle name="40% - 着色 4 2" xfId="2815"/>
    <cellStyle name="40% - 着色 5" xfId="2691"/>
    <cellStyle name="40% - 着色 6" xfId="2689"/>
    <cellStyle name="40% - 着色 6 2" xfId="2817"/>
    <cellStyle name="60% - 强调文字颜色 1" xfId="961"/>
    <cellStyle name="60% - 强调文字颜色 1 2" xfId="962"/>
    <cellStyle name="60% - 强调文字颜色 1 2 2" xfId="963"/>
    <cellStyle name="60% - 强调文字颜色 1 2 2 2" xfId="964"/>
    <cellStyle name="60% - 强调文字颜色 1 2 2 2 2" xfId="965"/>
    <cellStyle name="60% - 强调文字颜色 1 2 2 2 2 2" xfId="3748"/>
    <cellStyle name="60% - 强调文字颜色 1 2 2 2 2 2 2" xfId="6298"/>
    <cellStyle name="60% - 强调文字颜色 1 2 2 2 2 2 3" xfId="6299"/>
    <cellStyle name="60% - 强调文字颜色 1 2 2 2 2 2 3 2" xfId="6300"/>
    <cellStyle name="60% - 强调文字颜色 1 2 2 2 3" xfId="2492"/>
    <cellStyle name="60% - 强调文字颜色 1 2 2 2 3 2" xfId="6301"/>
    <cellStyle name="60% - 强调文字颜色 1 2 2 2 3 3" xfId="6302"/>
    <cellStyle name="60% - 强调文字颜色 1 2 2 2 3 3 2" xfId="6303"/>
    <cellStyle name="60% - 强调文字颜色 1 2 2 3" xfId="966"/>
    <cellStyle name="60% - 强调文字颜色 1 2 2 3 2" xfId="2493"/>
    <cellStyle name="60% - 强调文字颜色 1 2 2 3 2 2" xfId="6304"/>
    <cellStyle name="60% - 强调文字颜色 1 2 2 3 2 3" xfId="6305"/>
    <cellStyle name="60% - 强调文字颜色 1 2 2 3 2 3 2" xfId="6306"/>
    <cellStyle name="60% - 强调文字颜色 1 2 2 4" xfId="2491"/>
    <cellStyle name="60% - 强调文字颜色 1 2 2 4 2" xfId="6307"/>
    <cellStyle name="60% - 强调文字颜色 1 2 2 4 3" xfId="6308"/>
    <cellStyle name="60% - 强调文字颜色 1 2 2 4 3 2" xfId="6309"/>
    <cellStyle name="60% - 强调文字颜色 1 2 3" xfId="967"/>
    <cellStyle name="60% - 强调文字颜色 1 2 3 2" xfId="968"/>
    <cellStyle name="60% - 强调文字颜色 1 2 3 2 2" xfId="969"/>
    <cellStyle name="60% - 强调文字颜色 1 2 3 2 2 2" xfId="3751"/>
    <cellStyle name="60% - 强调文字颜色 1 2 3 2 2 2 2" xfId="6310"/>
    <cellStyle name="60% - 强调文字颜色 1 2 3 2 2 2 3" xfId="6311"/>
    <cellStyle name="60% - 强调文字颜色 1 2 3 2 2 2 3 2" xfId="6312"/>
    <cellStyle name="60% - 强调文字颜色 1 2 3 2 3" xfId="3750"/>
    <cellStyle name="60% - 强调文字颜色 1 2 3 2 3 2" xfId="6313"/>
    <cellStyle name="60% - 强调文字颜色 1 2 3 2 3 3" xfId="6314"/>
    <cellStyle name="60% - 强调文字颜色 1 2 3 2 3 3 2" xfId="6315"/>
    <cellStyle name="60% - 强调文字颜色 1 2 3 3" xfId="970"/>
    <cellStyle name="60% - 强调文字颜色 1 2 3 3 2" xfId="3752"/>
    <cellStyle name="60% - 强调文字颜色 1 2 3 3 2 2" xfId="6316"/>
    <cellStyle name="60% - 强调文字颜色 1 2 3 3 2 3" xfId="6317"/>
    <cellStyle name="60% - 强调文字颜色 1 2 3 3 2 3 2" xfId="6318"/>
    <cellStyle name="60% - 强调文字颜色 1 2 3 4" xfId="2494"/>
    <cellStyle name="60% - 强调文字颜色 1 2 3 4 2" xfId="6319"/>
    <cellStyle name="60% - 强调文字颜色 1 2 3 4 3" xfId="6320"/>
    <cellStyle name="60% - 强调文字颜色 1 2 3 4 3 2" xfId="6321"/>
    <cellStyle name="60% - 强调文字颜色 1 2 3 5" xfId="3749"/>
    <cellStyle name="60% - 强调文字颜色 1 2 3 5 2" xfId="6322"/>
    <cellStyle name="60% - 强调文字颜色 1 2 3 5 3" xfId="6323"/>
    <cellStyle name="60% - 强调文字颜色 1 2 3 5 3 2" xfId="6324"/>
    <cellStyle name="60% - 强调文字颜色 1 2 4" xfId="972"/>
    <cellStyle name="60% - 强调文字颜色 1 2 4 2" xfId="973"/>
    <cellStyle name="60% - 强调文字颜色 1 2 4 2 2" xfId="3754"/>
    <cellStyle name="60% - 强调文字颜色 1 2 4 2 2 2" xfId="6325"/>
    <cellStyle name="60% - 强调文字颜色 1 2 4 2 2 3" xfId="6326"/>
    <cellStyle name="60% - 强调文字颜色 1 2 4 2 2 3 2" xfId="6327"/>
    <cellStyle name="60% - 强调文字颜色 1 2 4 3" xfId="3753"/>
    <cellStyle name="60% - 强调文字颜色 1 2 4 3 2" xfId="6328"/>
    <cellStyle name="60% - 强调文字颜色 1 2 4 3 3" xfId="6329"/>
    <cellStyle name="60% - 强调文字颜色 1 2 4 3 3 2" xfId="6330"/>
    <cellStyle name="60% - 强调文字颜色 1 2 5" xfId="974"/>
    <cellStyle name="60% - 强调文字颜色 1 2 5 2" xfId="3755"/>
    <cellStyle name="60% - 强调文字颜色 1 2 5 2 2" xfId="6331"/>
    <cellStyle name="60% - 强调文字颜色 1 2 5 2 3" xfId="6332"/>
    <cellStyle name="60% - 强调文字颜色 1 2 5 2 3 2" xfId="6333"/>
    <cellStyle name="60% - 强调文字颜色 1 2 6" xfId="2490"/>
    <cellStyle name="60% - 强调文字颜色 1 2 6 2" xfId="6334"/>
    <cellStyle name="60% - 强调文字颜色 1 2 6 3" xfId="6335"/>
    <cellStyle name="60% - 强调文字颜色 1 2 6 3 2" xfId="6336"/>
    <cellStyle name="60% - 强调文字颜色 1 2 7" xfId="3747"/>
    <cellStyle name="60% - 强调文字颜色 1 2 7 2" xfId="6337"/>
    <cellStyle name="60% - 强调文字颜色 1 2 7 3" xfId="6338"/>
    <cellStyle name="60% - 强调文字颜色 1 2 7 3 2" xfId="6339"/>
    <cellStyle name="60% - 强调文字颜色 1 2_2015财政决算公开" xfId="3756"/>
    <cellStyle name="60% - 强调文字颜色 1 3" xfId="975"/>
    <cellStyle name="60% - 强调文字颜色 1 3 2" xfId="976"/>
    <cellStyle name="60% - 强调文字颜色 1 3 2 2" xfId="977"/>
    <cellStyle name="60% - 强调文字颜色 1 3 2 2 2" xfId="979"/>
    <cellStyle name="60% - 强调文字颜色 1 3 2 2 2 2" xfId="3759"/>
    <cellStyle name="60% - 强调文字颜色 1 3 2 2 2 2 2" xfId="6340"/>
    <cellStyle name="60% - 强调文字颜色 1 3 2 2 2 2 3" xfId="6341"/>
    <cellStyle name="60% - 强调文字颜色 1 3 2 2 2 2 3 2" xfId="6342"/>
    <cellStyle name="60% - 强调文字颜色 1 3 2 2 3" xfId="3758"/>
    <cellStyle name="60% - 强调文字颜色 1 3 2 2 3 2" xfId="6343"/>
    <cellStyle name="60% - 强调文字颜色 1 3 2 2 3 3" xfId="6344"/>
    <cellStyle name="60% - 强调文字颜色 1 3 2 2 3 3 2" xfId="6345"/>
    <cellStyle name="60% - 强调文字颜色 1 3 2 3" xfId="980"/>
    <cellStyle name="60% - 强调文字颜色 1 3 2 3 2" xfId="3760"/>
    <cellStyle name="60% - 强调文字颜色 1 3 2 3 2 2" xfId="6346"/>
    <cellStyle name="60% - 强调文字颜色 1 3 2 3 2 3" xfId="6347"/>
    <cellStyle name="60% - 强调文字颜色 1 3 2 3 2 3 2" xfId="6348"/>
    <cellStyle name="60% - 强调文字颜色 1 3 2 4" xfId="3757"/>
    <cellStyle name="60% - 强调文字颜色 1 3 2 4 2" xfId="6349"/>
    <cellStyle name="60% - 强调文字颜色 1 3 2 4 3" xfId="6350"/>
    <cellStyle name="60% - 强调文字颜色 1 3 2 4 3 2" xfId="6351"/>
    <cellStyle name="60% - 强调文字颜色 1 3 3" xfId="981"/>
    <cellStyle name="60% - 强调文字颜色 1 3 3 2" xfId="982"/>
    <cellStyle name="60% - 强调文字颜色 1 3 3 2 2" xfId="3762"/>
    <cellStyle name="60% - 强调文字颜色 1 3 3 2 2 2" xfId="6352"/>
    <cellStyle name="60% - 强调文字颜色 1 3 3 2 2 3" xfId="6353"/>
    <cellStyle name="60% - 强调文字颜色 1 3 3 2 2 3 2" xfId="6354"/>
    <cellStyle name="60% - 强调文字颜色 1 3 3 3" xfId="3761"/>
    <cellStyle name="60% - 强调文字颜色 1 3 3 3 2" xfId="6355"/>
    <cellStyle name="60% - 强调文字颜色 1 3 3 3 3" xfId="6356"/>
    <cellStyle name="60% - 强调文字颜色 1 3 3 3 3 2" xfId="6357"/>
    <cellStyle name="60% - 强调文字颜色 1 3 4" xfId="983"/>
    <cellStyle name="60% - 强调文字颜色 1 3 4 2" xfId="3763"/>
    <cellStyle name="60% - 强调文字颜色 1 3 4 2 2" xfId="6358"/>
    <cellStyle name="60% - 强调文字颜色 1 3 4 2 3" xfId="6359"/>
    <cellStyle name="60% - 强调文字颜色 1 3 4 2 3 2" xfId="6360"/>
    <cellStyle name="60% - 强调文字颜色 1 3 5" xfId="2495"/>
    <cellStyle name="60% - 强调文字颜色 1 3 5 2" xfId="6361"/>
    <cellStyle name="60% - 强调文字颜色 1 3 5 3" xfId="6362"/>
    <cellStyle name="60% - 强调文字颜色 1 3 5 3 2" xfId="6363"/>
    <cellStyle name="60% - 强调文字颜色 1 4" xfId="985"/>
    <cellStyle name="60% - 强调文字颜色 1 4 2" xfId="986"/>
    <cellStyle name="60% - 强调文字颜色 1 4 2 2" xfId="987"/>
    <cellStyle name="60% - 强调文字颜色 1 4 2 2 2" xfId="3766"/>
    <cellStyle name="60% - 强调文字颜色 1 4 2 2 2 2" xfId="6364"/>
    <cellStyle name="60% - 强调文字颜色 1 4 2 2 2 3" xfId="6365"/>
    <cellStyle name="60% - 强调文字颜色 1 4 2 2 2 3 2" xfId="6366"/>
    <cellStyle name="60% - 强调文字颜色 1 4 2 3" xfId="3765"/>
    <cellStyle name="60% - 强调文字颜色 1 4 2 3 2" xfId="6367"/>
    <cellStyle name="60% - 强调文字颜色 1 4 2 3 3" xfId="6368"/>
    <cellStyle name="60% - 强调文字颜色 1 4 2 3 3 2" xfId="6369"/>
    <cellStyle name="60% - 强调文字颜色 1 4 3" xfId="988"/>
    <cellStyle name="60% - 强调文字颜色 1 4 3 2" xfId="3767"/>
    <cellStyle name="60% - 强调文字颜色 1 4 3 2 2" xfId="6370"/>
    <cellStyle name="60% - 强调文字颜色 1 4 3 2 3" xfId="6371"/>
    <cellStyle name="60% - 强调文字颜色 1 4 3 2 3 2" xfId="6372"/>
    <cellStyle name="60% - 强调文字颜色 1 4 4" xfId="3764"/>
    <cellStyle name="60% - 强调文字颜色 1 4 4 2" xfId="6373"/>
    <cellStyle name="60% - 强调文字颜色 1 4 4 3" xfId="6374"/>
    <cellStyle name="60% - 强调文字颜色 1 4 4 3 2" xfId="6375"/>
    <cellStyle name="60% - 强调文字颜色 1 5" xfId="990"/>
    <cellStyle name="60% - 强调文字颜色 1 5 2" xfId="991"/>
    <cellStyle name="60% - 强调文字颜色 1 5 2 2" xfId="992"/>
    <cellStyle name="60% - 强调文字颜色 1 5 2 2 2" xfId="3770"/>
    <cellStyle name="60% - 强调文字颜色 1 5 2 2 2 2" xfId="6376"/>
    <cellStyle name="60% - 强调文字颜色 1 5 2 2 2 3" xfId="6377"/>
    <cellStyle name="60% - 强调文字颜色 1 5 2 2 2 3 2" xfId="6378"/>
    <cellStyle name="60% - 强调文字颜色 1 5 2 3" xfId="3769"/>
    <cellStyle name="60% - 强调文字颜色 1 5 2 3 2" xfId="6379"/>
    <cellStyle name="60% - 强调文字颜色 1 5 2 3 3" xfId="6380"/>
    <cellStyle name="60% - 强调文字颜色 1 5 2 3 3 2" xfId="6381"/>
    <cellStyle name="60% - 强调文字颜色 1 5 3" xfId="993"/>
    <cellStyle name="60% - 强调文字颜色 1 5 3 2" xfId="3771"/>
    <cellStyle name="60% - 强调文字颜色 1 5 3 2 2" xfId="6382"/>
    <cellStyle name="60% - 强调文字颜色 1 5 3 2 3" xfId="6383"/>
    <cellStyle name="60% - 强调文字颜色 1 5 3 2 3 2" xfId="6384"/>
    <cellStyle name="60% - 强调文字颜色 1 5 4" xfId="3768"/>
    <cellStyle name="60% - 强调文字颜色 1 5 4 2" xfId="6385"/>
    <cellStyle name="60% - 强调文字颜色 1 5 4 3" xfId="6386"/>
    <cellStyle name="60% - 强调文字颜色 1 5 4 3 2" xfId="6387"/>
    <cellStyle name="60% - 强调文字颜色 1 6" xfId="995"/>
    <cellStyle name="60% - 强调文字颜色 1 6 2" xfId="996"/>
    <cellStyle name="60% - 强调文字颜色 1 6 2 2" xfId="3773"/>
    <cellStyle name="60% - 强调文字颜色 1 6 2 2 2" xfId="6388"/>
    <cellStyle name="60% - 强调文字颜色 1 6 2 2 3" xfId="6389"/>
    <cellStyle name="60% - 强调文字颜色 1 6 2 2 3 2" xfId="6390"/>
    <cellStyle name="60% - 强调文字颜色 1 6 3" xfId="3772"/>
    <cellStyle name="60% - 强调文字颜色 1 6 3 2" xfId="6391"/>
    <cellStyle name="60% - 强调文字颜色 1 6 3 3" xfId="6392"/>
    <cellStyle name="60% - 强调文字颜色 1 6 3 3 2" xfId="6393"/>
    <cellStyle name="60% - 强调文字颜色 1 7" xfId="998"/>
    <cellStyle name="60% - 强调文字颜色 1 7 2" xfId="3774"/>
    <cellStyle name="60% - 强调文字颜色 1 7 2 2" xfId="6394"/>
    <cellStyle name="60% - 强调文字颜色 1 7 2 3" xfId="6395"/>
    <cellStyle name="60% - 强调文字颜色 1 7 2 3 2" xfId="6396"/>
    <cellStyle name="60% - 强调文字颜色 1 8" xfId="2489"/>
    <cellStyle name="60% - 强调文字颜色 1 8 2" xfId="6397"/>
    <cellStyle name="60% - 强调文字颜色 1 8 3" xfId="6398"/>
    <cellStyle name="60% - 强调文字颜色 1 8 3 2" xfId="6399"/>
    <cellStyle name="60% - 强调文字颜色 1 9" xfId="3746"/>
    <cellStyle name="60% - 强调文字颜色 1 9 2" xfId="6400"/>
    <cellStyle name="60% - 强调文字颜色 1 9 3" xfId="6401"/>
    <cellStyle name="60% - 强调文字颜色 1 9 3 2" xfId="6402"/>
    <cellStyle name="60% - 强调文字颜色 2" xfId="999"/>
    <cellStyle name="60% - 强调文字颜色 2 2" xfId="1000"/>
    <cellStyle name="60% - 强调文字颜色 2 2 2" xfId="1001"/>
    <cellStyle name="60% - 强调文字颜色 2 2 2 2" xfId="1003"/>
    <cellStyle name="60% - 强调文字颜色 2 2 2 2 2" xfId="1004"/>
    <cellStyle name="60% - 强调文字颜色 2 2 2 2 2 2" xfId="3777"/>
    <cellStyle name="60% - 强调文字颜色 2 2 2 2 2 2 2" xfId="6403"/>
    <cellStyle name="60% - 强调文字颜色 2 2 2 2 2 2 3" xfId="6404"/>
    <cellStyle name="60% - 强调文字颜色 2 2 2 2 2 2 3 2" xfId="6405"/>
    <cellStyle name="60% - 强调文字颜色 2 2 2 2 3" xfId="2499"/>
    <cellStyle name="60% - 强调文字颜色 2 2 2 2 3 2" xfId="6406"/>
    <cellStyle name="60% - 强调文字颜色 2 2 2 2 3 3" xfId="6407"/>
    <cellStyle name="60% - 强调文字颜色 2 2 2 2 3 3 2" xfId="6408"/>
    <cellStyle name="60% - 强调文字颜色 2 2 2 3" xfId="1005"/>
    <cellStyle name="60% - 强调文字颜色 2 2 2 3 2" xfId="2500"/>
    <cellStyle name="60% - 强调文字颜色 2 2 2 3 2 2" xfId="6409"/>
    <cellStyle name="60% - 强调文字颜色 2 2 2 3 2 3" xfId="6410"/>
    <cellStyle name="60% - 强调文字颜色 2 2 2 3 2 3 2" xfId="6411"/>
    <cellStyle name="60% - 强调文字颜色 2 2 2 4" xfId="2498"/>
    <cellStyle name="60% - 强调文字颜色 2 2 2 4 2" xfId="6412"/>
    <cellStyle name="60% - 强调文字颜色 2 2 2 4 3" xfId="6413"/>
    <cellStyle name="60% - 强调文字颜色 2 2 2 4 3 2" xfId="6414"/>
    <cellStyle name="60% - 强调文字颜色 2 2 3" xfId="1007"/>
    <cellStyle name="60% - 强调文字颜色 2 2 3 2" xfId="1009"/>
    <cellStyle name="60% - 强调文字颜色 2 2 3 2 2" xfId="1011"/>
    <cellStyle name="60% - 强调文字颜色 2 2 3 2 2 2" xfId="3780"/>
    <cellStyle name="60% - 强调文字颜色 2 2 3 2 2 2 2" xfId="6415"/>
    <cellStyle name="60% - 强调文字颜色 2 2 3 2 2 2 3" xfId="6416"/>
    <cellStyle name="60% - 强调文字颜色 2 2 3 2 2 2 3 2" xfId="6417"/>
    <cellStyle name="60% - 强调文字颜色 2 2 3 2 3" xfId="3779"/>
    <cellStyle name="60% - 强调文字颜色 2 2 3 2 3 2" xfId="6418"/>
    <cellStyle name="60% - 强调文字颜色 2 2 3 2 3 3" xfId="6419"/>
    <cellStyle name="60% - 强调文字颜色 2 2 3 2 3 3 2" xfId="6420"/>
    <cellStyle name="60% - 强调文字颜色 2 2 3 3" xfId="1013"/>
    <cellStyle name="60% - 强调文字颜色 2 2 3 3 2" xfId="3781"/>
    <cellStyle name="60% - 强调文字颜色 2 2 3 3 2 2" xfId="6421"/>
    <cellStyle name="60% - 强调文字颜色 2 2 3 3 2 3" xfId="6422"/>
    <cellStyle name="60% - 强调文字颜色 2 2 3 3 2 3 2" xfId="6423"/>
    <cellStyle name="60% - 强调文字颜色 2 2 3 4" xfId="2501"/>
    <cellStyle name="60% - 强调文字颜色 2 2 3 4 2" xfId="6424"/>
    <cellStyle name="60% - 强调文字颜色 2 2 3 4 3" xfId="6425"/>
    <cellStyle name="60% - 强调文字颜色 2 2 3 4 3 2" xfId="6426"/>
    <cellStyle name="60% - 强调文字颜色 2 2 3 5" xfId="3778"/>
    <cellStyle name="60% - 强调文字颜色 2 2 3 5 2" xfId="6427"/>
    <cellStyle name="60% - 强调文字颜色 2 2 3 5 3" xfId="6428"/>
    <cellStyle name="60% - 强调文字颜色 2 2 3 5 3 2" xfId="6429"/>
    <cellStyle name="60% - 强调文字颜色 2 2 4" xfId="1015"/>
    <cellStyle name="60% - 强调文字颜色 2 2 4 2" xfId="1017"/>
    <cellStyle name="60% - 强调文字颜色 2 2 4 2 2" xfId="3783"/>
    <cellStyle name="60% - 强调文字颜色 2 2 4 2 2 2" xfId="6430"/>
    <cellStyle name="60% - 强调文字颜色 2 2 4 2 2 3" xfId="6431"/>
    <cellStyle name="60% - 强调文字颜色 2 2 4 2 2 3 2" xfId="6432"/>
    <cellStyle name="60% - 强调文字颜色 2 2 4 3" xfId="3782"/>
    <cellStyle name="60% - 强调文字颜色 2 2 4 3 2" xfId="6433"/>
    <cellStyle name="60% - 强调文字颜色 2 2 4 3 3" xfId="6434"/>
    <cellStyle name="60% - 强调文字颜色 2 2 4 3 3 2" xfId="6435"/>
    <cellStyle name="60% - 强调文字颜色 2 2 5" xfId="1018"/>
    <cellStyle name="60% - 强调文字颜色 2 2 5 2" xfId="3784"/>
    <cellStyle name="60% - 强调文字颜色 2 2 5 2 2" xfId="6436"/>
    <cellStyle name="60% - 强调文字颜色 2 2 5 2 3" xfId="6437"/>
    <cellStyle name="60% - 强调文字颜色 2 2 5 2 3 2" xfId="6438"/>
    <cellStyle name="60% - 强调文字颜色 2 2 6" xfId="2497"/>
    <cellStyle name="60% - 强调文字颜色 2 2 6 2" xfId="6439"/>
    <cellStyle name="60% - 强调文字颜色 2 2 6 3" xfId="6440"/>
    <cellStyle name="60% - 强调文字颜色 2 2 6 3 2" xfId="6441"/>
    <cellStyle name="60% - 强调文字颜色 2 2 7" xfId="3776"/>
    <cellStyle name="60% - 强调文字颜色 2 2 7 2" xfId="6442"/>
    <cellStyle name="60% - 强调文字颜色 2 2 7 3" xfId="6443"/>
    <cellStyle name="60% - 强调文字颜色 2 2 7 3 2" xfId="6444"/>
    <cellStyle name="60% - 强调文字颜色 2 2_2015财政决算公开" xfId="3785"/>
    <cellStyle name="60% - 强调文字颜色 2 3" xfId="1020"/>
    <cellStyle name="60% - 强调文字颜色 2 3 2" xfId="1022"/>
    <cellStyle name="60% - 强调文字颜色 2 3 2 2" xfId="888"/>
    <cellStyle name="60% - 强调文字颜色 2 3 2 2 2" xfId="891"/>
    <cellStyle name="60% - 强调文字颜色 2 3 2 2 2 2" xfId="3788"/>
    <cellStyle name="60% - 强调文字颜色 2 3 2 2 2 2 2" xfId="6445"/>
    <cellStyle name="60% - 强调文字颜色 2 3 2 2 2 2 3" xfId="6446"/>
    <cellStyle name="60% - 强调文字颜色 2 3 2 2 2 2 3 2" xfId="6447"/>
    <cellStyle name="60% - 强调文字颜色 2 3 2 2 3" xfId="3787"/>
    <cellStyle name="60% - 强调文字颜色 2 3 2 2 3 2" xfId="6448"/>
    <cellStyle name="60% - 强调文字颜色 2 3 2 2 3 3" xfId="6449"/>
    <cellStyle name="60% - 强调文字颜色 2 3 2 2 3 3 2" xfId="6450"/>
    <cellStyle name="60% - 强调文字颜色 2 3 2 3" xfId="894"/>
    <cellStyle name="60% - 强调文字颜色 2 3 2 3 2" xfId="3789"/>
    <cellStyle name="60% - 强调文字颜色 2 3 2 3 2 2" xfId="6451"/>
    <cellStyle name="60% - 强调文字颜色 2 3 2 3 2 3" xfId="6452"/>
    <cellStyle name="60% - 强调文字颜色 2 3 2 3 2 3 2" xfId="6453"/>
    <cellStyle name="60% - 强调文字颜色 2 3 2 4" xfId="3786"/>
    <cellStyle name="60% - 强调文字颜色 2 3 2 4 2" xfId="6454"/>
    <cellStyle name="60% - 强调文字颜色 2 3 2 4 3" xfId="6455"/>
    <cellStyle name="60% - 强调文字颜色 2 3 2 4 3 2" xfId="6456"/>
    <cellStyle name="60% - 强调文字颜色 2 3 3" xfId="1024"/>
    <cellStyle name="60% - 强调文字颜色 2 3 3 2" xfId="953"/>
    <cellStyle name="60% - 强调文字颜色 2 3 3 2 2" xfId="3791"/>
    <cellStyle name="60% - 强调文字颜色 2 3 3 2 2 2" xfId="6457"/>
    <cellStyle name="60% - 强调文字颜色 2 3 3 2 2 3" xfId="6458"/>
    <cellStyle name="60% - 强调文字颜色 2 3 3 2 2 3 2" xfId="6459"/>
    <cellStyle name="60% - 强调文字颜色 2 3 3 3" xfId="3790"/>
    <cellStyle name="60% - 强调文字颜色 2 3 3 3 2" xfId="6460"/>
    <cellStyle name="60% - 强调文字颜色 2 3 3 3 3" xfId="6461"/>
    <cellStyle name="60% - 强调文字颜色 2 3 3 3 3 2" xfId="6462"/>
    <cellStyle name="60% - 强调文字颜色 2 3 4" xfId="1026"/>
    <cellStyle name="60% - 强调文字颜色 2 3 4 2" xfId="3792"/>
    <cellStyle name="60% - 强调文字颜色 2 3 4 2 2" xfId="6463"/>
    <cellStyle name="60% - 强调文字颜色 2 3 4 2 3" xfId="6464"/>
    <cellStyle name="60% - 强调文字颜色 2 3 4 2 3 2" xfId="6465"/>
    <cellStyle name="60% - 强调文字颜色 2 3 5" xfId="2502"/>
    <cellStyle name="60% - 强调文字颜色 2 3 5 2" xfId="6466"/>
    <cellStyle name="60% - 强调文字颜色 2 3 5 3" xfId="6467"/>
    <cellStyle name="60% - 强调文字颜色 2 3 5 3 2" xfId="6468"/>
    <cellStyle name="60% - 强调文字颜色 2 4" xfId="1027"/>
    <cellStyle name="60% - 强调文字颜色 2 4 2" xfId="1028"/>
    <cellStyle name="60% - 强调文字颜色 2 4 2 2" xfId="1029"/>
    <cellStyle name="60% - 强调文字颜色 2 4 2 2 2" xfId="3795"/>
    <cellStyle name="60% - 强调文字颜色 2 4 2 2 2 2" xfId="6469"/>
    <cellStyle name="60% - 强调文字颜色 2 4 2 2 2 3" xfId="6470"/>
    <cellStyle name="60% - 强调文字颜色 2 4 2 2 2 3 2" xfId="6471"/>
    <cellStyle name="60% - 强调文字颜色 2 4 2 3" xfId="3794"/>
    <cellStyle name="60% - 强调文字颜色 2 4 2 3 2" xfId="6472"/>
    <cellStyle name="60% - 强调文字颜色 2 4 2 3 3" xfId="6473"/>
    <cellStyle name="60% - 强调文字颜色 2 4 2 3 3 2" xfId="6474"/>
    <cellStyle name="60% - 强调文字颜色 2 4 3" xfId="1030"/>
    <cellStyle name="60% - 强调文字颜色 2 4 3 2" xfId="3796"/>
    <cellStyle name="60% - 强调文字颜色 2 4 3 2 2" xfId="6475"/>
    <cellStyle name="60% - 强调文字颜色 2 4 3 2 3" xfId="6476"/>
    <cellStyle name="60% - 强调文字颜色 2 4 3 2 3 2" xfId="6477"/>
    <cellStyle name="60% - 强调文字颜色 2 4 4" xfId="3793"/>
    <cellStyle name="60% - 强调文字颜色 2 4 4 2" xfId="6478"/>
    <cellStyle name="60% - 强调文字颜色 2 4 4 3" xfId="6479"/>
    <cellStyle name="60% - 强调文字颜色 2 4 4 3 2" xfId="6480"/>
    <cellStyle name="60% - 强调文字颜色 2 5" xfId="1031"/>
    <cellStyle name="60% - 强调文字颜色 2 5 2" xfId="1032"/>
    <cellStyle name="60% - 强调文字颜色 2 5 2 2" xfId="1033"/>
    <cellStyle name="60% - 强调文字颜色 2 5 2 2 2" xfId="3799"/>
    <cellStyle name="60% - 强调文字颜色 2 5 2 2 2 2" xfId="6481"/>
    <cellStyle name="60% - 强调文字颜色 2 5 2 2 2 3" xfId="6482"/>
    <cellStyle name="60% - 强调文字颜色 2 5 2 2 2 3 2" xfId="6483"/>
    <cellStyle name="60% - 强调文字颜色 2 5 2 3" xfId="3798"/>
    <cellStyle name="60% - 强调文字颜色 2 5 2 3 2" xfId="6484"/>
    <cellStyle name="60% - 强调文字颜色 2 5 2 3 3" xfId="6485"/>
    <cellStyle name="60% - 强调文字颜色 2 5 2 3 3 2" xfId="6486"/>
    <cellStyle name="60% - 强调文字颜色 2 5 3" xfId="1034"/>
    <cellStyle name="60% - 强调文字颜色 2 5 3 2" xfId="3800"/>
    <cellStyle name="60% - 强调文字颜色 2 5 3 2 2" xfId="6487"/>
    <cellStyle name="60% - 强调文字颜色 2 5 3 2 3" xfId="6488"/>
    <cellStyle name="60% - 强调文字颜色 2 5 3 2 3 2" xfId="6489"/>
    <cellStyle name="60% - 强调文字颜色 2 5 4" xfId="3797"/>
    <cellStyle name="60% - 强调文字颜色 2 5 4 2" xfId="6490"/>
    <cellStyle name="60% - 强调文字颜色 2 5 4 3" xfId="6491"/>
    <cellStyle name="60% - 强调文字颜色 2 5 4 3 2" xfId="6492"/>
    <cellStyle name="60% - 强调文字颜色 2 6" xfId="1035"/>
    <cellStyle name="60% - 强调文字颜色 2 6 2" xfId="1036"/>
    <cellStyle name="60% - 强调文字颜色 2 6 2 2" xfId="3802"/>
    <cellStyle name="60% - 强调文字颜色 2 6 2 2 2" xfId="6493"/>
    <cellStyle name="60% - 强调文字颜色 2 6 2 2 3" xfId="6494"/>
    <cellStyle name="60% - 强调文字颜色 2 6 2 2 3 2" xfId="6495"/>
    <cellStyle name="60% - 强调文字颜色 2 6 3" xfId="3801"/>
    <cellStyle name="60% - 强调文字颜色 2 6 3 2" xfId="6496"/>
    <cellStyle name="60% - 强调文字颜色 2 6 3 3" xfId="6497"/>
    <cellStyle name="60% - 强调文字颜色 2 6 3 3 2" xfId="6498"/>
    <cellStyle name="60% - 强调文字颜色 2 7" xfId="1038"/>
    <cellStyle name="60% - 强调文字颜色 2 7 2" xfId="3803"/>
    <cellStyle name="60% - 强调文字颜色 2 7 2 2" xfId="6499"/>
    <cellStyle name="60% - 强调文字颜色 2 7 2 3" xfId="6500"/>
    <cellStyle name="60% - 强调文字颜色 2 7 2 3 2" xfId="6501"/>
    <cellStyle name="60% - 强调文字颜色 2 8" xfId="2496"/>
    <cellStyle name="60% - 强调文字颜色 2 8 2" xfId="6502"/>
    <cellStyle name="60% - 强调文字颜色 2 8 3" xfId="6503"/>
    <cellStyle name="60% - 强调文字颜色 2 8 3 2" xfId="6504"/>
    <cellStyle name="60% - 强调文字颜色 2 9" xfId="3775"/>
    <cellStyle name="60% - 强调文字颜色 2 9 2" xfId="6505"/>
    <cellStyle name="60% - 强调文字颜色 2 9 3" xfId="6506"/>
    <cellStyle name="60% - 强调文字颜色 2 9 3 2" xfId="6507"/>
    <cellStyle name="60% - 强调文字颜色 3" xfId="1039"/>
    <cellStyle name="60% - 强调文字颜色 3 2" xfId="1040"/>
    <cellStyle name="60% - 强调文字颜色 3 2 2" xfId="1041"/>
    <cellStyle name="60% - 强调文字颜色 3 2 2 2" xfId="1042"/>
    <cellStyle name="60% - 强调文字颜色 3 2 2 2 2" xfId="1043"/>
    <cellStyle name="60% - 强调文字颜色 3 2 2 2 2 2" xfId="3806"/>
    <cellStyle name="60% - 强调文字颜色 3 2 2 2 2 2 2" xfId="6508"/>
    <cellStyle name="60% - 强调文字颜色 3 2 2 2 2 2 3" xfId="6509"/>
    <cellStyle name="60% - 强调文字颜色 3 2 2 2 2 2 3 2" xfId="6510"/>
    <cellStyle name="60% - 强调文字颜色 3 2 2 2 3" xfId="2506"/>
    <cellStyle name="60% - 强调文字颜色 3 2 2 2 3 2" xfId="6511"/>
    <cellStyle name="60% - 强调文字颜色 3 2 2 2 3 3" xfId="6512"/>
    <cellStyle name="60% - 强调文字颜色 3 2 2 2 3 3 2" xfId="6513"/>
    <cellStyle name="60% - 强调文字颜色 3 2 2 3" xfId="1044"/>
    <cellStyle name="60% - 强调文字颜色 3 2 2 3 2" xfId="2507"/>
    <cellStyle name="60% - 强调文字颜色 3 2 2 3 2 2" xfId="6514"/>
    <cellStyle name="60% - 强调文字颜色 3 2 2 3 2 3" xfId="6515"/>
    <cellStyle name="60% - 强调文字颜色 3 2 2 3 2 3 2" xfId="6516"/>
    <cellStyle name="60% - 强调文字颜色 3 2 2 4" xfId="2505"/>
    <cellStyle name="60% - 强调文字颜色 3 2 2 4 2" xfId="6517"/>
    <cellStyle name="60% - 强调文字颜色 3 2 2 4 3" xfId="6518"/>
    <cellStyle name="60% - 强调文字颜色 3 2 2 4 3 2" xfId="6519"/>
    <cellStyle name="60% - 强调文字颜色 3 2 3" xfId="1045"/>
    <cellStyle name="60% - 强调文字颜色 3 2 3 2" xfId="1047"/>
    <cellStyle name="60% - 强调文字颜色 3 2 3 2 2" xfId="1050"/>
    <cellStyle name="60% - 强调文字颜色 3 2 3 2 2 2" xfId="3809"/>
    <cellStyle name="60% - 强调文字颜色 3 2 3 2 2 2 2" xfId="6520"/>
    <cellStyle name="60% - 强调文字颜色 3 2 3 2 2 2 3" xfId="6521"/>
    <cellStyle name="60% - 强调文字颜色 3 2 3 2 2 2 3 2" xfId="6522"/>
    <cellStyle name="60% - 强调文字颜色 3 2 3 2 3" xfId="3808"/>
    <cellStyle name="60% - 强调文字颜色 3 2 3 2 3 2" xfId="6523"/>
    <cellStyle name="60% - 强调文字颜色 3 2 3 2 3 3" xfId="6524"/>
    <cellStyle name="60% - 强调文字颜色 3 2 3 2 3 3 2" xfId="6525"/>
    <cellStyle name="60% - 强调文字颜色 3 2 3 3" xfId="1052"/>
    <cellStyle name="60% - 强调文字颜色 3 2 3 3 2" xfId="3810"/>
    <cellStyle name="60% - 强调文字颜色 3 2 3 3 2 2" xfId="6526"/>
    <cellStyle name="60% - 强调文字颜色 3 2 3 3 2 3" xfId="6527"/>
    <cellStyle name="60% - 强调文字颜色 3 2 3 3 2 3 2" xfId="6528"/>
    <cellStyle name="60% - 强调文字颜色 3 2 3 4" xfId="2508"/>
    <cellStyle name="60% - 强调文字颜色 3 2 3 4 2" xfId="6529"/>
    <cellStyle name="60% - 强调文字颜色 3 2 3 4 3" xfId="6530"/>
    <cellStyle name="60% - 强调文字颜色 3 2 3 4 3 2" xfId="6531"/>
    <cellStyle name="60% - 强调文字颜色 3 2 3 5" xfId="3807"/>
    <cellStyle name="60% - 强调文字颜色 3 2 3 5 2" xfId="6532"/>
    <cellStyle name="60% - 强调文字颜色 3 2 3 5 3" xfId="6533"/>
    <cellStyle name="60% - 强调文字颜色 3 2 3 5 3 2" xfId="6534"/>
    <cellStyle name="60% - 强调文字颜色 3 2 4" xfId="1008"/>
    <cellStyle name="60% - 强调文字颜色 3 2 4 2" xfId="1010"/>
    <cellStyle name="60% - 强调文字颜色 3 2 4 2 2" xfId="3812"/>
    <cellStyle name="60% - 强调文字颜色 3 2 4 2 2 2" xfId="6535"/>
    <cellStyle name="60% - 强调文字颜色 3 2 4 2 2 3" xfId="6536"/>
    <cellStyle name="60% - 强调文字颜色 3 2 4 2 2 3 2" xfId="6537"/>
    <cellStyle name="60% - 强调文字颜色 3 2 4 3" xfId="3811"/>
    <cellStyle name="60% - 强调文字颜色 3 2 4 3 2" xfId="6538"/>
    <cellStyle name="60% - 强调文字颜色 3 2 4 3 3" xfId="6539"/>
    <cellStyle name="60% - 强调文字颜色 3 2 4 3 3 2" xfId="6540"/>
    <cellStyle name="60% - 强调文字颜色 3 2 5" xfId="1012"/>
    <cellStyle name="60% - 强调文字颜色 3 2 5 2" xfId="3813"/>
    <cellStyle name="60% - 强调文字颜色 3 2 5 2 2" xfId="6541"/>
    <cellStyle name="60% - 强调文字颜色 3 2 5 2 3" xfId="6542"/>
    <cellStyle name="60% - 强调文字颜色 3 2 5 2 3 2" xfId="6543"/>
    <cellStyle name="60% - 强调文字颜色 3 2 6" xfId="2504"/>
    <cellStyle name="60% - 强调文字颜色 3 2 6 2" xfId="6544"/>
    <cellStyle name="60% - 强调文字颜色 3 2 6 3" xfId="6545"/>
    <cellStyle name="60% - 强调文字颜色 3 2 6 3 2" xfId="6546"/>
    <cellStyle name="60% - 强调文字颜色 3 2 7" xfId="3805"/>
    <cellStyle name="60% - 强调文字颜色 3 2 7 2" xfId="6547"/>
    <cellStyle name="60% - 强调文字颜色 3 2 7 3" xfId="6548"/>
    <cellStyle name="60% - 强调文字颜色 3 2 7 3 2" xfId="6549"/>
    <cellStyle name="60% - 强调文字颜色 3 2_2015财政决算公开" xfId="3814"/>
    <cellStyle name="60% - 强调文字颜色 3 3" xfId="560"/>
    <cellStyle name="60% - 强调文字颜色 3 3 2" xfId="1053"/>
    <cellStyle name="60% - 强调文字颜色 3 3 2 2" xfId="1054"/>
    <cellStyle name="60% - 强调文字颜色 3 3 2 2 2" xfId="1055"/>
    <cellStyle name="60% - 强调文字颜色 3 3 2 2 2 2" xfId="3817"/>
    <cellStyle name="60% - 强调文字颜色 3 3 2 2 2 2 2" xfId="6550"/>
    <cellStyle name="60% - 强调文字颜色 3 3 2 2 2 2 3" xfId="6551"/>
    <cellStyle name="60% - 强调文字颜色 3 3 2 2 2 2 3 2" xfId="6552"/>
    <cellStyle name="60% - 强调文字颜色 3 3 2 2 3" xfId="3816"/>
    <cellStyle name="60% - 强调文字颜色 3 3 2 2 3 2" xfId="6553"/>
    <cellStyle name="60% - 强调文字颜色 3 3 2 2 3 3" xfId="6554"/>
    <cellStyle name="60% - 强调文字颜色 3 3 2 2 3 3 2" xfId="6555"/>
    <cellStyle name="60% - 强调文字颜色 3 3 2 3" xfId="1056"/>
    <cellStyle name="60% - 强调文字颜色 3 3 2 3 2" xfId="3818"/>
    <cellStyle name="60% - 强调文字颜色 3 3 2 3 2 2" xfId="6556"/>
    <cellStyle name="60% - 强调文字颜色 3 3 2 3 2 3" xfId="6557"/>
    <cellStyle name="60% - 强调文字颜色 3 3 2 3 2 3 2" xfId="6558"/>
    <cellStyle name="60% - 强调文字颜色 3 3 2 4" xfId="3815"/>
    <cellStyle name="60% - 强调文字颜色 3 3 2 4 2" xfId="6559"/>
    <cellStyle name="60% - 强调文字颜色 3 3 2 4 3" xfId="6560"/>
    <cellStyle name="60% - 强调文字颜色 3 3 2 4 3 2" xfId="6561"/>
    <cellStyle name="60% - 强调文字颜色 3 3 3" xfId="1057"/>
    <cellStyle name="60% - 强调文字颜色 3 3 3 2" xfId="1058"/>
    <cellStyle name="60% - 强调文字颜色 3 3 3 2 2" xfId="3820"/>
    <cellStyle name="60% - 强调文字颜色 3 3 3 2 2 2" xfId="6562"/>
    <cellStyle name="60% - 强调文字颜色 3 3 3 2 2 3" xfId="6563"/>
    <cellStyle name="60% - 强调文字颜色 3 3 3 2 2 3 2" xfId="6564"/>
    <cellStyle name="60% - 强调文字颜色 3 3 3 3" xfId="3819"/>
    <cellStyle name="60% - 强调文字颜色 3 3 3 3 2" xfId="6565"/>
    <cellStyle name="60% - 强调文字颜色 3 3 3 3 3" xfId="6566"/>
    <cellStyle name="60% - 强调文字颜色 3 3 3 3 3 2" xfId="6567"/>
    <cellStyle name="60% - 强调文字颜色 3 3 4" xfId="1016"/>
    <cellStyle name="60% - 强调文字颜色 3 3 4 2" xfId="3821"/>
    <cellStyle name="60% - 强调文字颜色 3 3 4 2 2" xfId="6568"/>
    <cellStyle name="60% - 强调文字颜色 3 3 4 2 3" xfId="6569"/>
    <cellStyle name="60% - 强调文字颜色 3 3 4 2 3 2" xfId="6570"/>
    <cellStyle name="60% - 强调文字颜色 3 3 5" xfId="2509"/>
    <cellStyle name="60% - 强调文字颜色 3 3 5 2" xfId="6571"/>
    <cellStyle name="60% - 强调文字颜色 3 3 5 3" xfId="6572"/>
    <cellStyle name="60% - 强调文字颜色 3 3 5 3 2" xfId="6573"/>
    <cellStyle name="60% - 强调文字颜色 3 4" xfId="1059"/>
    <cellStyle name="60% - 强调文字颜色 3 4 2" xfId="1060"/>
    <cellStyle name="60% - 强调文字颜色 3 4 2 2" xfId="1061"/>
    <cellStyle name="60% - 强调文字颜色 3 4 2 2 2" xfId="3824"/>
    <cellStyle name="60% - 强调文字颜色 3 4 2 2 2 2" xfId="6574"/>
    <cellStyle name="60% - 强调文字颜色 3 4 2 2 2 3" xfId="6575"/>
    <cellStyle name="60% - 强调文字颜色 3 4 2 2 2 3 2" xfId="6576"/>
    <cellStyle name="60% - 强调文字颜色 3 4 2 3" xfId="3823"/>
    <cellStyle name="60% - 强调文字颜色 3 4 2 3 2" xfId="6577"/>
    <cellStyle name="60% - 强调文字颜色 3 4 2 3 3" xfId="6578"/>
    <cellStyle name="60% - 强调文字颜色 3 4 2 3 3 2" xfId="6579"/>
    <cellStyle name="60% - 强调文字颜色 3 4 3" xfId="1062"/>
    <cellStyle name="60% - 强调文字颜色 3 4 3 2" xfId="3825"/>
    <cellStyle name="60% - 强调文字颜色 3 4 3 2 2" xfId="6580"/>
    <cellStyle name="60% - 强调文字颜色 3 4 3 2 3" xfId="6581"/>
    <cellStyle name="60% - 强调文字颜色 3 4 3 2 3 2" xfId="6582"/>
    <cellStyle name="60% - 强调文字颜色 3 4 4" xfId="3822"/>
    <cellStyle name="60% - 强调文字颜色 3 4 4 2" xfId="6583"/>
    <cellStyle name="60% - 强调文字颜色 3 4 4 3" xfId="6584"/>
    <cellStyle name="60% - 强调文字颜色 3 4 4 3 2" xfId="6585"/>
    <cellStyle name="60% - 强调文字颜色 3 5" xfId="1064"/>
    <cellStyle name="60% - 强调文字颜色 3 5 2" xfId="1065"/>
    <cellStyle name="60% - 强调文字颜色 3 5 2 2" xfId="1066"/>
    <cellStyle name="60% - 强调文字颜色 3 5 2 2 2" xfId="3828"/>
    <cellStyle name="60% - 强调文字颜色 3 5 2 2 2 2" xfId="6586"/>
    <cellStyle name="60% - 强调文字颜色 3 5 2 2 2 3" xfId="6587"/>
    <cellStyle name="60% - 强调文字颜色 3 5 2 2 2 3 2" xfId="6588"/>
    <cellStyle name="60% - 强调文字颜色 3 5 2 3" xfId="3827"/>
    <cellStyle name="60% - 强调文字颜色 3 5 2 3 2" xfId="6589"/>
    <cellStyle name="60% - 强调文字颜色 3 5 2 3 3" xfId="6590"/>
    <cellStyle name="60% - 强调文字颜色 3 5 2 3 3 2" xfId="6591"/>
    <cellStyle name="60% - 强调文字颜色 3 5 3" xfId="1067"/>
    <cellStyle name="60% - 强调文字颜色 3 5 3 2" xfId="3829"/>
    <cellStyle name="60% - 强调文字颜色 3 5 3 2 2" xfId="6592"/>
    <cellStyle name="60% - 强调文字颜色 3 5 3 2 3" xfId="6593"/>
    <cellStyle name="60% - 强调文字颜色 3 5 3 2 3 2" xfId="6594"/>
    <cellStyle name="60% - 强调文字颜色 3 5 4" xfId="3826"/>
    <cellStyle name="60% - 强调文字颜色 3 5 4 2" xfId="6595"/>
    <cellStyle name="60% - 强调文字颜色 3 5 4 3" xfId="6596"/>
    <cellStyle name="60% - 强调文字颜色 3 5 4 3 2" xfId="6597"/>
    <cellStyle name="60% - 强调文字颜色 3 6" xfId="1068"/>
    <cellStyle name="60% - 强调文字颜色 3 6 2" xfId="1069"/>
    <cellStyle name="60% - 强调文字颜色 3 6 2 2" xfId="3831"/>
    <cellStyle name="60% - 强调文字颜色 3 6 2 2 2" xfId="6598"/>
    <cellStyle name="60% - 强调文字颜色 3 6 2 2 3" xfId="6599"/>
    <cellStyle name="60% - 强调文字颜色 3 6 2 2 3 2" xfId="6600"/>
    <cellStyle name="60% - 强调文字颜色 3 6 3" xfId="3830"/>
    <cellStyle name="60% - 强调文字颜色 3 6 3 2" xfId="6601"/>
    <cellStyle name="60% - 强调文字颜色 3 6 3 3" xfId="6602"/>
    <cellStyle name="60% - 强调文字颜色 3 6 3 3 2" xfId="6603"/>
    <cellStyle name="60% - 强调文字颜色 3 7" xfId="1070"/>
    <cellStyle name="60% - 强调文字颜色 3 7 2" xfId="3832"/>
    <cellStyle name="60% - 强调文字颜色 3 7 2 2" xfId="6604"/>
    <cellStyle name="60% - 强调文字颜色 3 7 2 3" xfId="6605"/>
    <cellStyle name="60% - 强调文字颜色 3 7 2 3 2" xfId="6606"/>
    <cellStyle name="60% - 强调文字颜色 3 8" xfId="2503"/>
    <cellStyle name="60% - 强调文字颜色 3 8 2" xfId="6607"/>
    <cellStyle name="60% - 强调文字颜色 3 8 3" xfId="6608"/>
    <cellStyle name="60% - 强调文字颜色 3 8 3 2" xfId="6609"/>
    <cellStyle name="60% - 强调文字颜色 3 9" xfId="3804"/>
    <cellStyle name="60% - 强调文字颜色 3 9 2" xfId="6610"/>
    <cellStyle name="60% - 强调文字颜色 3 9 3" xfId="6611"/>
    <cellStyle name="60% - 强调文字颜色 3 9 3 2" xfId="6612"/>
    <cellStyle name="60% - 强调文字颜色 4" xfId="1071"/>
    <cellStyle name="60% - 强调文字颜色 4 2" xfId="1072"/>
    <cellStyle name="60% - 强调文字颜色 4 2 2" xfId="935"/>
    <cellStyle name="60% - 强调文字颜色 4 2 2 2" xfId="937"/>
    <cellStyle name="60% - 强调文字颜色 4 2 2 2 2" xfId="939"/>
    <cellStyle name="60% - 强调文字颜色 4 2 2 2 2 2" xfId="3835"/>
    <cellStyle name="60% - 强调文字颜色 4 2 2 2 2 2 2" xfId="6613"/>
    <cellStyle name="60% - 强调文字颜色 4 2 2 2 2 2 3" xfId="6614"/>
    <cellStyle name="60% - 强调文字颜色 4 2 2 2 2 2 3 2" xfId="6615"/>
    <cellStyle name="60% - 强调文字颜色 4 2 2 2 3" xfId="2513"/>
    <cellStyle name="60% - 强调文字颜色 4 2 2 2 3 2" xfId="6616"/>
    <cellStyle name="60% - 强调文字颜色 4 2 2 2 3 3" xfId="6617"/>
    <cellStyle name="60% - 强调文字颜色 4 2 2 2 3 3 2" xfId="6618"/>
    <cellStyle name="60% - 强调文字颜色 4 2 2 3" xfId="941"/>
    <cellStyle name="60% - 强调文字颜色 4 2 2 3 2" xfId="2514"/>
    <cellStyle name="60% - 强调文字颜色 4 2 2 3 2 2" xfId="6619"/>
    <cellStyle name="60% - 强调文字颜色 4 2 2 3 2 3" xfId="6620"/>
    <cellStyle name="60% - 强调文字颜色 4 2 2 3 2 3 2" xfId="6621"/>
    <cellStyle name="60% - 强调文字颜色 4 2 2 4" xfId="2512"/>
    <cellStyle name="60% - 强调文字颜色 4 2 2 4 2" xfId="6622"/>
    <cellStyle name="60% - 强调文字颜色 4 2 2 4 3" xfId="6623"/>
    <cellStyle name="60% - 强调文字颜色 4 2 2 4 3 2" xfId="6624"/>
    <cellStyle name="60% - 强调文字颜色 4 2 3" xfId="943"/>
    <cellStyle name="60% - 强调文字颜色 4 2 3 2" xfId="945"/>
    <cellStyle name="60% - 强调文字颜色 4 2 3 2 2" xfId="947"/>
    <cellStyle name="60% - 强调文字颜色 4 2 3 2 2 2" xfId="3838"/>
    <cellStyle name="60% - 强调文字颜色 4 2 3 2 2 2 2" xfId="6625"/>
    <cellStyle name="60% - 强调文字颜色 4 2 3 2 2 2 3" xfId="6626"/>
    <cellStyle name="60% - 强调文字颜色 4 2 3 2 2 2 3 2" xfId="6627"/>
    <cellStyle name="60% - 强调文字颜色 4 2 3 2 3" xfId="3837"/>
    <cellStyle name="60% - 强调文字颜色 4 2 3 2 3 2" xfId="6628"/>
    <cellStyle name="60% - 强调文字颜色 4 2 3 2 3 3" xfId="6629"/>
    <cellStyle name="60% - 强调文字颜色 4 2 3 2 3 3 2" xfId="6630"/>
    <cellStyle name="60% - 强调文字颜色 4 2 3 3" xfId="949"/>
    <cellStyle name="60% - 强调文字颜色 4 2 3 3 2" xfId="3839"/>
    <cellStyle name="60% - 强调文字颜色 4 2 3 3 2 2" xfId="6631"/>
    <cellStyle name="60% - 强调文字颜色 4 2 3 3 2 3" xfId="6632"/>
    <cellStyle name="60% - 强调文字颜色 4 2 3 3 2 3 2" xfId="6633"/>
    <cellStyle name="60% - 强调文字颜色 4 2 3 4" xfId="2515"/>
    <cellStyle name="60% - 强调文字颜色 4 2 3 4 2" xfId="6634"/>
    <cellStyle name="60% - 强调文字颜色 4 2 3 4 3" xfId="6635"/>
    <cellStyle name="60% - 强调文字颜色 4 2 3 4 3 2" xfId="6636"/>
    <cellStyle name="60% - 强调文字颜色 4 2 3 5" xfId="3836"/>
    <cellStyle name="60% - 强调文字颜色 4 2 3 5 2" xfId="6637"/>
    <cellStyle name="60% - 强调文字颜色 4 2 3 5 3" xfId="6638"/>
    <cellStyle name="60% - 强调文字颜色 4 2 3 5 3 2" xfId="6639"/>
    <cellStyle name="60% - 强调文字颜色 4 2 4" xfId="952"/>
    <cellStyle name="60% - 强调文字颜色 4 2 4 2" xfId="956"/>
    <cellStyle name="60% - 强调文字颜色 4 2 4 2 2" xfId="3841"/>
    <cellStyle name="60% - 强调文字颜色 4 2 4 2 2 2" xfId="6640"/>
    <cellStyle name="60% - 强调文字颜色 4 2 4 2 2 3" xfId="6641"/>
    <cellStyle name="60% - 强调文字颜色 4 2 4 2 2 3 2" xfId="6642"/>
    <cellStyle name="60% - 强调文字颜色 4 2 4 3" xfId="3840"/>
    <cellStyle name="60% - 强调文字颜色 4 2 4 3 2" xfId="6643"/>
    <cellStyle name="60% - 强调文字颜色 4 2 4 3 3" xfId="6644"/>
    <cellStyle name="60% - 强调文字颜色 4 2 4 3 3 2" xfId="6645"/>
    <cellStyle name="60% - 强调文字颜色 4 2 5" xfId="959"/>
    <cellStyle name="60% - 强调文字颜色 4 2 5 2" xfId="3842"/>
    <cellStyle name="60% - 强调文字颜色 4 2 5 2 2" xfId="6646"/>
    <cellStyle name="60% - 强调文字颜色 4 2 5 2 3" xfId="6647"/>
    <cellStyle name="60% - 强调文字颜色 4 2 5 2 3 2" xfId="6648"/>
    <cellStyle name="60% - 强调文字颜色 4 2 6" xfId="2511"/>
    <cellStyle name="60% - 强调文字颜色 4 2 6 2" xfId="6649"/>
    <cellStyle name="60% - 强调文字颜色 4 2 6 3" xfId="6650"/>
    <cellStyle name="60% - 强调文字颜色 4 2 6 3 2" xfId="6651"/>
    <cellStyle name="60% - 强调文字颜色 4 2 7" xfId="3834"/>
    <cellStyle name="60% - 强调文字颜色 4 2 7 2" xfId="6652"/>
    <cellStyle name="60% - 强调文字颜色 4 2 7 3" xfId="6653"/>
    <cellStyle name="60% - 强调文字颜色 4 2 7 3 2" xfId="6654"/>
    <cellStyle name="60% - 强调文字颜色 4 2_2015财政决算公开" xfId="3843"/>
    <cellStyle name="60% - 强调文字颜色 4 3" xfId="1073"/>
    <cellStyle name="60% - 强调文字颜色 4 3 2" xfId="1076"/>
    <cellStyle name="60% - 强调文字颜色 4 3 2 2" xfId="1079"/>
    <cellStyle name="60% - 强调文字颜色 4 3 2 2 2" xfId="1080"/>
    <cellStyle name="60% - 强调文字颜色 4 3 2 2 2 2" xfId="3846"/>
    <cellStyle name="60% - 强调文字颜色 4 3 2 2 2 2 2" xfId="6655"/>
    <cellStyle name="60% - 强调文字颜色 4 3 2 2 2 2 3" xfId="6656"/>
    <cellStyle name="60% - 强调文字颜色 4 3 2 2 2 2 3 2" xfId="6657"/>
    <cellStyle name="60% - 强调文字颜色 4 3 2 2 3" xfId="3845"/>
    <cellStyle name="60% - 强调文字颜色 4 3 2 2 3 2" xfId="6658"/>
    <cellStyle name="60% - 强调文字颜色 4 3 2 2 3 3" xfId="6659"/>
    <cellStyle name="60% - 强调文字颜色 4 3 2 2 3 3 2" xfId="6660"/>
    <cellStyle name="60% - 强调文字颜色 4 3 2 3" xfId="1082"/>
    <cellStyle name="60% - 强调文字颜色 4 3 2 3 2" xfId="3847"/>
    <cellStyle name="60% - 强调文字颜色 4 3 2 3 2 2" xfId="6661"/>
    <cellStyle name="60% - 强调文字颜色 4 3 2 3 2 3" xfId="6662"/>
    <cellStyle name="60% - 强调文字颜色 4 3 2 3 2 3 2" xfId="6663"/>
    <cellStyle name="60% - 强调文字颜色 4 3 2 4" xfId="3844"/>
    <cellStyle name="60% - 强调文字颜色 4 3 2 4 2" xfId="6664"/>
    <cellStyle name="60% - 强调文字颜色 4 3 2 4 3" xfId="6665"/>
    <cellStyle name="60% - 强调文字颜色 4 3 2 4 3 2" xfId="6666"/>
    <cellStyle name="60% - 强调文字颜色 4 3 3" xfId="1086"/>
    <cellStyle name="60% - 强调文字颜色 4 3 3 2" xfId="1090"/>
    <cellStyle name="60% - 强调文字颜色 4 3 3 2 2" xfId="3849"/>
    <cellStyle name="60% - 强调文字颜色 4 3 3 2 2 2" xfId="6667"/>
    <cellStyle name="60% - 强调文字颜色 4 3 3 2 2 3" xfId="6668"/>
    <cellStyle name="60% - 强调文字颜色 4 3 3 2 2 3 2" xfId="6669"/>
    <cellStyle name="60% - 强调文字颜色 4 3 3 3" xfId="3848"/>
    <cellStyle name="60% - 强调文字颜色 4 3 3 3 2" xfId="6670"/>
    <cellStyle name="60% - 强调文字颜色 4 3 3 3 3" xfId="6671"/>
    <cellStyle name="60% - 强调文字颜色 4 3 3 3 3 2" xfId="6672"/>
    <cellStyle name="60% - 强调文字颜色 4 3 4" xfId="1095"/>
    <cellStyle name="60% - 强调文字颜色 4 3 4 2" xfId="3850"/>
    <cellStyle name="60% - 强调文字颜色 4 3 4 2 2" xfId="6673"/>
    <cellStyle name="60% - 强调文字颜色 4 3 4 2 3" xfId="6674"/>
    <cellStyle name="60% - 强调文字颜色 4 3 4 2 3 2" xfId="6675"/>
    <cellStyle name="60% - 强调文字颜色 4 3 5" xfId="2516"/>
    <cellStyle name="60% - 强调文字颜色 4 3 5 2" xfId="6676"/>
    <cellStyle name="60% - 强调文字颜色 4 3 5 3" xfId="6677"/>
    <cellStyle name="60% - 强调文字颜色 4 3 5 3 2" xfId="6678"/>
    <cellStyle name="60% - 强调文字颜色 4 4" xfId="1096"/>
    <cellStyle name="60% - 强调文字颜色 4 4 2" xfId="1097"/>
    <cellStyle name="60% - 强调文字颜色 4 4 2 2" xfId="240"/>
    <cellStyle name="60% - 强调文字颜色 4 4 2 2 2" xfId="3853"/>
    <cellStyle name="60% - 强调文字颜色 4 4 2 2 2 2" xfId="6679"/>
    <cellStyle name="60% - 强调文字颜色 4 4 2 2 2 3" xfId="6680"/>
    <cellStyle name="60% - 强调文字颜色 4 4 2 2 2 3 2" xfId="6681"/>
    <cellStyle name="60% - 强调文字颜色 4 4 2 3" xfId="3852"/>
    <cellStyle name="60% - 强调文字颜色 4 4 2 3 2" xfId="6682"/>
    <cellStyle name="60% - 强调文字颜色 4 4 2 3 3" xfId="6683"/>
    <cellStyle name="60% - 强调文字颜色 4 4 2 3 3 2" xfId="6684"/>
    <cellStyle name="60% - 强调文字颜色 4 4 3" xfId="1099"/>
    <cellStyle name="60% - 强调文字颜色 4 4 3 2" xfId="3854"/>
    <cellStyle name="60% - 强调文字颜色 4 4 3 2 2" xfId="6685"/>
    <cellStyle name="60% - 强调文字颜色 4 4 3 2 3" xfId="6686"/>
    <cellStyle name="60% - 强调文字颜色 4 4 3 2 3 2" xfId="6687"/>
    <cellStyle name="60% - 强调文字颜色 4 4 4" xfId="3851"/>
    <cellStyle name="60% - 强调文字颜色 4 4 4 2" xfId="6688"/>
    <cellStyle name="60% - 强调文字颜色 4 4 4 3" xfId="6689"/>
    <cellStyle name="60% - 强调文字颜色 4 4 4 3 2" xfId="6690"/>
    <cellStyle name="60% - 强调文字颜色 4 5" xfId="1100"/>
    <cellStyle name="60% - 强调文字颜色 4 5 2" xfId="1101"/>
    <cellStyle name="60% - 强调文字颜色 4 5 2 2" xfId="408"/>
    <cellStyle name="60% - 强调文字颜色 4 5 2 2 2" xfId="3857"/>
    <cellStyle name="60% - 强调文字颜色 4 5 2 2 2 2" xfId="6691"/>
    <cellStyle name="60% - 强调文字颜色 4 5 2 2 2 3" xfId="6692"/>
    <cellStyle name="60% - 强调文字颜色 4 5 2 2 2 3 2" xfId="6693"/>
    <cellStyle name="60% - 强调文字颜色 4 5 2 3" xfId="3856"/>
    <cellStyle name="60% - 强调文字颜色 4 5 2 3 2" xfId="6694"/>
    <cellStyle name="60% - 强调文字颜色 4 5 2 3 3" xfId="6695"/>
    <cellStyle name="60% - 强调文字颜色 4 5 2 3 3 2" xfId="6696"/>
    <cellStyle name="60% - 强调文字颜色 4 5 3" xfId="1103"/>
    <cellStyle name="60% - 强调文字颜色 4 5 3 2" xfId="3858"/>
    <cellStyle name="60% - 强调文字颜色 4 5 3 2 2" xfId="6697"/>
    <cellStyle name="60% - 强调文字颜色 4 5 3 2 3" xfId="6698"/>
    <cellStyle name="60% - 强调文字颜色 4 5 3 2 3 2" xfId="6699"/>
    <cellStyle name="60% - 强调文字颜色 4 5 4" xfId="3855"/>
    <cellStyle name="60% - 强调文字颜色 4 5 4 2" xfId="6700"/>
    <cellStyle name="60% - 强调文字颜色 4 5 4 3" xfId="6701"/>
    <cellStyle name="60% - 强调文字颜色 4 5 4 3 2" xfId="6702"/>
    <cellStyle name="60% - 强调文字颜色 4 6" xfId="1104"/>
    <cellStyle name="60% - 强调文字颜色 4 6 2" xfId="1106"/>
    <cellStyle name="60% - 强调文字颜色 4 6 2 2" xfId="3860"/>
    <cellStyle name="60% - 强调文字颜色 4 6 2 2 2" xfId="6703"/>
    <cellStyle name="60% - 强调文字颜色 4 6 2 2 3" xfId="6704"/>
    <cellStyle name="60% - 强调文字颜色 4 6 2 2 3 2" xfId="6705"/>
    <cellStyle name="60% - 强调文字颜色 4 6 3" xfId="3859"/>
    <cellStyle name="60% - 强调文字颜色 4 6 3 2" xfId="6706"/>
    <cellStyle name="60% - 强调文字颜色 4 6 3 3" xfId="6707"/>
    <cellStyle name="60% - 强调文字颜色 4 6 3 3 2" xfId="6708"/>
    <cellStyle name="60% - 强调文字颜色 4 7" xfId="1107"/>
    <cellStyle name="60% - 强调文字颜色 4 7 2" xfId="3861"/>
    <cellStyle name="60% - 强调文字颜色 4 7 2 2" xfId="6709"/>
    <cellStyle name="60% - 强调文字颜色 4 7 2 3" xfId="6710"/>
    <cellStyle name="60% - 强调文字颜色 4 7 2 3 2" xfId="6711"/>
    <cellStyle name="60% - 强调文字颜色 4 8" xfId="2510"/>
    <cellStyle name="60% - 强调文字颜色 4 8 2" xfId="6712"/>
    <cellStyle name="60% - 强调文字颜色 4 8 3" xfId="6713"/>
    <cellStyle name="60% - 强调文字颜色 4 8 3 2" xfId="6714"/>
    <cellStyle name="60% - 强调文字颜色 4 9" xfId="3833"/>
    <cellStyle name="60% - 强调文字颜色 4 9 2" xfId="6715"/>
    <cellStyle name="60% - 强调文字颜色 4 9 3" xfId="6716"/>
    <cellStyle name="60% - 强调文字颜色 4 9 3 2" xfId="6717"/>
    <cellStyle name="60% - 强调文字颜色 5" xfId="1108"/>
    <cellStyle name="60% - 强调文字颜色 5 2" xfId="1109"/>
    <cellStyle name="60% - 强调文字颜色 5 2 2" xfId="1110"/>
    <cellStyle name="60% - 强调文字颜色 5 2 2 2" xfId="1111"/>
    <cellStyle name="60% - 强调文字颜色 5 2 2 2 2" xfId="1113"/>
    <cellStyle name="60% - 强调文字颜色 5 2 2 2 2 2" xfId="3864"/>
    <cellStyle name="60% - 强调文字颜色 5 2 2 2 2 2 2" xfId="6718"/>
    <cellStyle name="60% - 强调文字颜色 5 2 2 2 2 2 3" xfId="6719"/>
    <cellStyle name="60% - 强调文字颜色 5 2 2 2 2 2 3 2" xfId="6720"/>
    <cellStyle name="60% - 强调文字颜色 5 2 2 2 3" xfId="2520"/>
    <cellStyle name="60% - 强调文字颜色 5 2 2 2 3 2" xfId="6721"/>
    <cellStyle name="60% - 强调文字颜色 5 2 2 2 3 3" xfId="6722"/>
    <cellStyle name="60% - 强调文字颜色 5 2 2 2 3 3 2" xfId="6723"/>
    <cellStyle name="60% - 强调文字颜色 5 2 2 3" xfId="1115"/>
    <cellStyle name="60% - 强调文字颜色 5 2 2 3 2" xfId="2521"/>
    <cellStyle name="60% - 强调文字颜色 5 2 2 3 2 2" xfId="6724"/>
    <cellStyle name="60% - 强调文字颜色 5 2 2 3 2 3" xfId="6725"/>
    <cellStyle name="60% - 强调文字颜色 5 2 2 3 2 3 2" xfId="6726"/>
    <cellStyle name="60% - 强调文字颜色 5 2 2 4" xfId="2519"/>
    <cellStyle name="60% - 强调文字颜色 5 2 2 4 2" xfId="6727"/>
    <cellStyle name="60% - 强调文字颜色 5 2 2 4 3" xfId="6728"/>
    <cellStyle name="60% - 强调文字颜色 5 2 2 4 3 2" xfId="6729"/>
    <cellStyle name="60% - 强调文字颜色 5 2 3" xfId="1116"/>
    <cellStyle name="60% - 强调文字颜色 5 2 3 2" xfId="1117"/>
    <cellStyle name="60% - 强调文字颜色 5 2 3 2 2" xfId="1118"/>
    <cellStyle name="60% - 强调文字颜色 5 2 3 2 2 2" xfId="3867"/>
    <cellStyle name="60% - 强调文字颜色 5 2 3 2 2 2 2" xfId="6730"/>
    <cellStyle name="60% - 强调文字颜色 5 2 3 2 2 2 3" xfId="6731"/>
    <cellStyle name="60% - 强调文字颜色 5 2 3 2 2 2 3 2" xfId="6732"/>
    <cellStyle name="60% - 强调文字颜色 5 2 3 2 3" xfId="3866"/>
    <cellStyle name="60% - 强调文字颜色 5 2 3 2 3 2" xfId="6733"/>
    <cellStyle name="60% - 强调文字颜色 5 2 3 2 3 3" xfId="6734"/>
    <cellStyle name="60% - 强调文字颜色 5 2 3 2 3 3 2" xfId="6735"/>
    <cellStyle name="60% - 强调文字颜色 5 2 3 3" xfId="1119"/>
    <cellStyle name="60% - 强调文字颜色 5 2 3 3 2" xfId="3868"/>
    <cellStyle name="60% - 强调文字颜色 5 2 3 3 2 2" xfId="6736"/>
    <cellStyle name="60% - 强调文字颜色 5 2 3 3 2 3" xfId="6737"/>
    <cellStyle name="60% - 强调文字颜色 5 2 3 3 2 3 2" xfId="6738"/>
    <cellStyle name="60% - 强调文字颜色 5 2 3 4" xfId="2522"/>
    <cellStyle name="60% - 强调文字颜色 5 2 3 4 2" xfId="6739"/>
    <cellStyle name="60% - 强调文字颜色 5 2 3 4 3" xfId="6740"/>
    <cellStyle name="60% - 强调文字颜色 5 2 3 4 3 2" xfId="6741"/>
    <cellStyle name="60% - 强调文字颜色 5 2 3 5" xfId="3865"/>
    <cellStyle name="60% - 强调文字颜色 5 2 3 5 2" xfId="6742"/>
    <cellStyle name="60% - 强调文字颜色 5 2 3 5 3" xfId="6743"/>
    <cellStyle name="60% - 强调文字颜色 5 2 3 5 3 2" xfId="6744"/>
    <cellStyle name="60% - 强调文字颜色 5 2 4" xfId="1120"/>
    <cellStyle name="60% - 强调文字颜色 5 2 4 2" xfId="1121"/>
    <cellStyle name="60% - 强调文字颜色 5 2 4 2 2" xfId="3870"/>
    <cellStyle name="60% - 强调文字颜色 5 2 4 2 2 2" xfId="6745"/>
    <cellStyle name="60% - 强调文字颜色 5 2 4 2 2 3" xfId="6746"/>
    <cellStyle name="60% - 强调文字颜色 5 2 4 2 2 3 2" xfId="6747"/>
    <cellStyle name="60% - 强调文字颜色 5 2 4 3" xfId="3869"/>
    <cellStyle name="60% - 强调文字颜色 5 2 4 3 2" xfId="6748"/>
    <cellStyle name="60% - 强调文字颜色 5 2 4 3 3" xfId="6749"/>
    <cellStyle name="60% - 强调文字颜色 5 2 4 3 3 2" xfId="6750"/>
    <cellStyle name="60% - 强调文字颜色 5 2 5" xfId="1123"/>
    <cellStyle name="60% - 强调文字颜色 5 2 5 2" xfId="3871"/>
    <cellStyle name="60% - 强调文字颜色 5 2 5 2 2" xfId="6751"/>
    <cellStyle name="60% - 强调文字颜色 5 2 5 2 3" xfId="6752"/>
    <cellStyle name="60% - 强调文字颜色 5 2 5 2 3 2" xfId="6753"/>
    <cellStyle name="60% - 强调文字颜色 5 2 6" xfId="2518"/>
    <cellStyle name="60% - 强调文字颜色 5 2 6 2" xfId="6754"/>
    <cellStyle name="60% - 强调文字颜色 5 2 6 3" xfId="6755"/>
    <cellStyle name="60% - 强调文字颜色 5 2 6 3 2" xfId="6756"/>
    <cellStyle name="60% - 强调文字颜色 5 2 7" xfId="3863"/>
    <cellStyle name="60% - 强调文字颜色 5 2 7 2" xfId="6757"/>
    <cellStyle name="60% - 强调文字颜色 5 2 7 3" xfId="6758"/>
    <cellStyle name="60% - 强调文字颜色 5 2 7 3 2" xfId="6759"/>
    <cellStyle name="60% - 强调文字颜色 5 2_2015财政决算公开" xfId="3872"/>
    <cellStyle name="60% - 强调文字颜色 5 3" xfId="1124"/>
    <cellStyle name="60% - 强调文字颜色 5 3 2" xfId="1125"/>
    <cellStyle name="60% - 强调文字颜色 5 3 2 2" xfId="37"/>
    <cellStyle name="60% - 强调文字颜色 5 3 2 2 2" xfId="1126"/>
    <cellStyle name="60% - 强调文字颜色 5 3 2 2 2 2" xfId="3875"/>
    <cellStyle name="60% - 强调文字颜色 5 3 2 2 2 2 2" xfId="6760"/>
    <cellStyle name="60% - 强调文字颜色 5 3 2 2 2 2 3" xfId="6761"/>
    <cellStyle name="60% - 强调文字颜色 5 3 2 2 2 2 3 2" xfId="6762"/>
    <cellStyle name="60% - 强调文字颜色 5 3 2 2 3" xfId="3874"/>
    <cellStyle name="60% - 强调文字颜色 5 3 2 2 3 2" xfId="6763"/>
    <cellStyle name="60% - 强调文字颜色 5 3 2 2 3 3" xfId="6764"/>
    <cellStyle name="60% - 强调文字颜色 5 3 2 2 3 3 2" xfId="6765"/>
    <cellStyle name="60% - 强调文字颜色 5 3 2 3" xfId="128"/>
    <cellStyle name="60% - 强调文字颜色 5 3 2 3 2" xfId="3876"/>
    <cellStyle name="60% - 强调文字颜色 5 3 2 3 2 2" xfId="6766"/>
    <cellStyle name="60% - 强调文字颜色 5 3 2 3 2 3" xfId="6767"/>
    <cellStyle name="60% - 强调文字颜色 5 3 2 3 2 3 2" xfId="6768"/>
    <cellStyle name="60% - 强调文字颜色 5 3 2 4" xfId="3873"/>
    <cellStyle name="60% - 强调文字颜色 5 3 2 4 2" xfId="6769"/>
    <cellStyle name="60% - 强调文字颜色 5 3 2 4 3" xfId="6770"/>
    <cellStyle name="60% - 强调文字颜色 5 3 2 4 3 2" xfId="6771"/>
    <cellStyle name="60% - 强调文字颜色 5 3 3" xfId="1128"/>
    <cellStyle name="60% - 强调文字颜色 5 3 3 2" xfId="1130"/>
    <cellStyle name="60% - 强调文字颜色 5 3 3 2 2" xfId="3878"/>
    <cellStyle name="60% - 强调文字颜色 5 3 3 2 2 2" xfId="6772"/>
    <cellStyle name="60% - 强调文字颜色 5 3 3 2 2 3" xfId="6773"/>
    <cellStyle name="60% - 强调文字颜色 5 3 3 2 2 3 2" xfId="6774"/>
    <cellStyle name="60% - 强调文字颜色 5 3 3 3" xfId="3877"/>
    <cellStyle name="60% - 强调文字颜色 5 3 3 3 2" xfId="6775"/>
    <cellStyle name="60% - 强调文字颜色 5 3 3 3 3" xfId="6776"/>
    <cellStyle name="60% - 强调文字颜色 5 3 3 3 3 2" xfId="6777"/>
    <cellStyle name="60% - 强调文字颜色 5 3 4" xfId="1132"/>
    <cellStyle name="60% - 强调文字颜色 5 3 4 2" xfId="3879"/>
    <cellStyle name="60% - 强调文字颜色 5 3 4 2 2" xfId="6778"/>
    <cellStyle name="60% - 强调文字颜色 5 3 4 2 3" xfId="6779"/>
    <cellStyle name="60% - 强调文字颜色 5 3 4 2 3 2" xfId="6780"/>
    <cellStyle name="60% - 强调文字颜色 5 3 5" xfId="2523"/>
    <cellStyle name="60% - 强调文字颜色 5 3 5 2" xfId="6781"/>
    <cellStyle name="60% - 强调文字颜色 5 3 5 3" xfId="6782"/>
    <cellStyle name="60% - 强调文字颜色 5 3 5 3 2" xfId="6783"/>
    <cellStyle name="60% - 强调文字颜色 5 4" xfId="1133"/>
    <cellStyle name="60% - 强调文字颜色 5 4 2" xfId="1134"/>
    <cellStyle name="60% - 强调文字颜色 5 4 2 2" xfId="439"/>
    <cellStyle name="60% - 强调文字颜色 5 4 2 2 2" xfId="3882"/>
    <cellStyle name="60% - 强调文字颜色 5 4 2 2 2 2" xfId="6784"/>
    <cellStyle name="60% - 强调文字颜色 5 4 2 2 2 3" xfId="6785"/>
    <cellStyle name="60% - 强调文字颜色 5 4 2 2 2 3 2" xfId="6786"/>
    <cellStyle name="60% - 强调文字颜色 5 4 2 3" xfId="3881"/>
    <cellStyle name="60% - 强调文字颜色 5 4 2 3 2" xfId="6787"/>
    <cellStyle name="60% - 强调文字颜色 5 4 2 3 3" xfId="6788"/>
    <cellStyle name="60% - 强调文字颜色 5 4 2 3 3 2" xfId="6789"/>
    <cellStyle name="60% - 强调文字颜色 5 4 3" xfId="1136"/>
    <cellStyle name="60% - 强调文字颜色 5 4 3 2" xfId="3883"/>
    <cellStyle name="60% - 强调文字颜色 5 4 3 2 2" xfId="6790"/>
    <cellStyle name="60% - 强调文字颜色 5 4 3 2 3" xfId="6791"/>
    <cellStyle name="60% - 强调文字颜色 5 4 3 2 3 2" xfId="6792"/>
    <cellStyle name="60% - 强调文字颜色 5 4 4" xfId="3880"/>
    <cellStyle name="60% - 强调文字颜色 5 4 4 2" xfId="6793"/>
    <cellStyle name="60% - 强调文字颜色 5 4 4 3" xfId="6794"/>
    <cellStyle name="60% - 强调文字颜色 5 4 4 3 2" xfId="6795"/>
    <cellStyle name="60% - 强调文字颜色 5 5" xfId="1137"/>
    <cellStyle name="60% - 强调文字颜色 5 5 2" xfId="1138"/>
    <cellStyle name="60% - 强调文字颜色 5 5 2 2" xfId="541"/>
    <cellStyle name="60% - 强调文字颜色 5 5 2 2 2" xfId="3886"/>
    <cellStyle name="60% - 强调文字颜色 5 5 2 2 2 2" xfId="6796"/>
    <cellStyle name="60% - 强调文字颜色 5 5 2 2 2 3" xfId="6797"/>
    <cellStyle name="60% - 强调文字颜色 5 5 2 2 2 3 2" xfId="6798"/>
    <cellStyle name="60% - 强调文字颜色 5 5 2 3" xfId="3885"/>
    <cellStyle name="60% - 强调文字颜色 5 5 2 3 2" xfId="6799"/>
    <cellStyle name="60% - 强调文字颜色 5 5 2 3 3" xfId="6800"/>
    <cellStyle name="60% - 强调文字颜色 5 5 2 3 3 2" xfId="6801"/>
    <cellStyle name="60% - 强调文字颜色 5 5 3" xfId="1139"/>
    <cellStyle name="60% - 强调文字颜色 5 5 3 2" xfId="3887"/>
    <cellStyle name="60% - 强调文字颜色 5 5 3 2 2" xfId="6802"/>
    <cellStyle name="60% - 强调文字颜色 5 5 3 2 3" xfId="6803"/>
    <cellStyle name="60% - 强调文字颜色 5 5 3 2 3 2" xfId="6804"/>
    <cellStyle name="60% - 强调文字颜色 5 5 4" xfId="3884"/>
    <cellStyle name="60% - 强调文字颜色 5 5 4 2" xfId="6805"/>
    <cellStyle name="60% - 强调文字颜色 5 5 4 3" xfId="6806"/>
    <cellStyle name="60% - 强调文字颜色 5 5 4 3 2" xfId="6807"/>
    <cellStyle name="60% - 强调文字颜色 5 6" xfId="1140"/>
    <cellStyle name="60% - 强调文字颜色 5 6 2" xfId="1141"/>
    <cellStyle name="60% - 强调文字颜色 5 6 2 2" xfId="3889"/>
    <cellStyle name="60% - 强调文字颜色 5 6 2 2 2" xfId="6808"/>
    <cellStyle name="60% - 强调文字颜色 5 6 2 2 3" xfId="6809"/>
    <cellStyle name="60% - 强调文字颜色 5 6 2 2 3 2" xfId="6810"/>
    <cellStyle name="60% - 强调文字颜色 5 6 3" xfId="3888"/>
    <cellStyle name="60% - 强调文字颜色 5 6 3 2" xfId="6811"/>
    <cellStyle name="60% - 强调文字颜色 5 6 3 3" xfId="6812"/>
    <cellStyle name="60% - 强调文字颜色 5 6 3 3 2" xfId="6813"/>
    <cellStyle name="60% - 强调文字颜色 5 7" xfId="1142"/>
    <cellStyle name="60% - 强调文字颜色 5 7 2" xfId="3890"/>
    <cellStyle name="60% - 强调文字颜色 5 7 2 2" xfId="6814"/>
    <cellStyle name="60% - 强调文字颜色 5 7 2 3" xfId="6815"/>
    <cellStyle name="60% - 强调文字颜色 5 7 2 3 2" xfId="6816"/>
    <cellStyle name="60% - 强调文字颜色 5 8" xfId="2517"/>
    <cellStyle name="60% - 强调文字颜色 5 8 2" xfId="6817"/>
    <cellStyle name="60% - 强调文字颜色 5 8 3" xfId="6818"/>
    <cellStyle name="60% - 强调文字颜色 5 8 3 2" xfId="6819"/>
    <cellStyle name="60% - 强调文字颜色 5 9" xfId="3862"/>
    <cellStyle name="60% - 强调文字颜色 5 9 2" xfId="6820"/>
    <cellStyle name="60% - 强调文字颜色 5 9 3" xfId="6821"/>
    <cellStyle name="60% - 强调文字颜色 5 9 3 2" xfId="6822"/>
    <cellStyle name="60% - 强调文字颜色 6" xfId="1143"/>
    <cellStyle name="60% - 强调文字颜色 6 2" xfId="1144"/>
    <cellStyle name="60% - 强调文字颜色 6 2 2" xfId="1145"/>
    <cellStyle name="60% - 强调文字颜色 6 2 2 2" xfId="1146"/>
    <cellStyle name="60% - 强调文字颜色 6 2 2 2 2" xfId="1147"/>
    <cellStyle name="60% - 强调文字颜色 6 2 2 2 2 2" xfId="3893"/>
    <cellStyle name="60% - 强调文字颜色 6 2 2 2 2 2 2" xfId="6823"/>
    <cellStyle name="60% - 强调文字颜色 6 2 2 2 2 2 3" xfId="6824"/>
    <cellStyle name="60% - 强调文字颜色 6 2 2 2 2 2 3 2" xfId="6825"/>
    <cellStyle name="60% - 强调文字颜色 6 2 2 2 3" xfId="2527"/>
    <cellStyle name="60% - 强调文字颜色 6 2 2 2 3 2" xfId="6826"/>
    <cellStyle name="60% - 强调文字颜色 6 2 2 2 3 3" xfId="6827"/>
    <cellStyle name="60% - 强调文字颜色 6 2 2 2 3 3 2" xfId="6828"/>
    <cellStyle name="60% - 强调文字颜色 6 2 2 3" xfId="1148"/>
    <cellStyle name="60% - 强调文字颜色 6 2 2 3 2" xfId="2528"/>
    <cellStyle name="60% - 强调文字颜色 6 2 2 3 2 2" xfId="6829"/>
    <cellStyle name="60% - 强调文字颜色 6 2 2 3 2 3" xfId="6830"/>
    <cellStyle name="60% - 强调文字颜色 6 2 2 3 2 3 2" xfId="6831"/>
    <cellStyle name="60% - 强调文字颜色 6 2 2 4" xfId="2526"/>
    <cellStyle name="60% - 强调文字颜色 6 2 2 4 2" xfId="6832"/>
    <cellStyle name="60% - 强调文字颜色 6 2 2 4 3" xfId="6833"/>
    <cellStyle name="60% - 强调文字颜色 6 2 2 4 3 2" xfId="6834"/>
    <cellStyle name="60% - 强调文字颜色 6 2 3" xfId="1149"/>
    <cellStyle name="60% - 强调文字颜色 6 2 3 2" xfId="1150"/>
    <cellStyle name="60% - 强调文字颜色 6 2 3 2 2" xfId="1151"/>
    <cellStyle name="60% - 强调文字颜色 6 2 3 2 2 2" xfId="3896"/>
    <cellStyle name="60% - 强调文字颜色 6 2 3 2 2 2 2" xfId="6835"/>
    <cellStyle name="60% - 强调文字颜色 6 2 3 2 2 2 3" xfId="6836"/>
    <cellStyle name="60% - 强调文字颜色 6 2 3 2 2 2 3 2" xfId="6837"/>
    <cellStyle name="60% - 强调文字颜色 6 2 3 2 3" xfId="3895"/>
    <cellStyle name="60% - 强调文字颜色 6 2 3 2 3 2" xfId="6838"/>
    <cellStyle name="60% - 强调文字颜色 6 2 3 2 3 3" xfId="6839"/>
    <cellStyle name="60% - 强调文字颜色 6 2 3 2 3 3 2" xfId="6840"/>
    <cellStyle name="60% - 强调文字颜色 6 2 3 3" xfId="1152"/>
    <cellStyle name="60% - 强调文字颜色 6 2 3 3 2" xfId="3897"/>
    <cellStyle name="60% - 强调文字颜色 6 2 3 3 2 2" xfId="6841"/>
    <cellStyle name="60% - 强调文字颜色 6 2 3 3 2 3" xfId="6842"/>
    <cellStyle name="60% - 强调文字颜色 6 2 3 3 2 3 2" xfId="6843"/>
    <cellStyle name="60% - 强调文字颜色 6 2 3 4" xfId="2529"/>
    <cellStyle name="60% - 强调文字颜色 6 2 3 4 2" xfId="6844"/>
    <cellStyle name="60% - 强调文字颜色 6 2 3 4 3" xfId="6845"/>
    <cellStyle name="60% - 强调文字颜色 6 2 3 4 3 2" xfId="6846"/>
    <cellStyle name="60% - 强调文字颜色 6 2 3 5" xfId="3894"/>
    <cellStyle name="60% - 强调文字颜色 6 2 3 5 2" xfId="6847"/>
    <cellStyle name="60% - 强调文字颜色 6 2 3 5 3" xfId="6848"/>
    <cellStyle name="60% - 强调文字颜色 6 2 3 5 3 2" xfId="6849"/>
    <cellStyle name="60% - 强调文字颜色 6 2 4" xfId="1153"/>
    <cellStyle name="60% - 强调文字颜色 6 2 4 2" xfId="1154"/>
    <cellStyle name="60% - 强调文字颜色 6 2 4 2 2" xfId="3899"/>
    <cellStyle name="60% - 强调文字颜色 6 2 4 2 2 2" xfId="6850"/>
    <cellStyle name="60% - 强调文字颜色 6 2 4 2 2 3" xfId="6851"/>
    <cellStyle name="60% - 强调文字颜色 6 2 4 2 2 3 2" xfId="6852"/>
    <cellStyle name="60% - 强调文字颜色 6 2 4 3" xfId="3898"/>
    <cellStyle name="60% - 强调文字颜色 6 2 4 3 2" xfId="6853"/>
    <cellStyle name="60% - 强调文字颜色 6 2 4 3 3" xfId="6854"/>
    <cellStyle name="60% - 强调文字颜色 6 2 4 3 3 2" xfId="6855"/>
    <cellStyle name="60% - 强调文字颜色 6 2 5" xfId="1156"/>
    <cellStyle name="60% - 强调文字颜色 6 2 5 2" xfId="3900"/>
    <cellStyle name="60% - 强调文字颜色 6 2 5 2 2" xfId="6856"/>
    <cellStyle name="60% - 强调文字颜色 6 2 5 2 3" xfId="6857"/>
    <cellStyle name="60% - 强调文字颜色 6 2 5 2 3 2" xfId="6858"/>
    <cellStyle name="60% - 强调文字颜色 6 2 6" xfId="2525"/>
    <cellStyle name="60% - 强调文字颜色 6 2 6 2" xfId="6859"/>
    <cellStyle name="60% - 强调文字颜色 6 2 6 3" xfId="6860"/>
    <cellStyle name="60% - 强调文字颜色 6 2 6 3 2" xfId="6861"/>
    <cellStyle name="60% - 强调文字颜色 6 2 7" xfId="3892"/>
    <cellStyle name="60% - 强调文字颜色 6 2 7 2" xfId="6862"/>
    <cellStyle name="60% - 强调文字颜色 6 2 7 3" xfId="6863"/>
    <cellStyle name="60% - 强调文字颜色 6 2 7 3 2" xfId="6864"/>
    <cellStyle name="60% - 强调文字颜色 6 2_2015财政决算公开" xfId="3901"/>
    <cellStyle name="60% - 强调文字颜色 6 3" xfId="1157"/>
    <cellStyle name="60% - 强调文字颜色 6 3 2" xfId="1159"/>
    <cellStyle name="60% - 强调文字颜色 6 3 2 2" xfId="378"/>
    <cellStyle name="60% - 强调文字颜色 6 3 2 2 2" xfId="662"/>
    <cellStyle name="60% - 强调文字颜色 6 3 2 2 2 2" xfId="3904"/>
    <cellStyle name="60% - 强调文字颜色 6 3 2 2 2 2 2" xfId="6865"/>
    <cellStyle name="60% - 强调文字颜色 6 3 2 2 2 2 3" xfId="6866"/>
    <cellStyle name="60% - 强调文字颜色 6 3 2 2 2 2 3 2" xfId="6867"/>
    <cellStyle name="60% - 强调文字颜色 6 3 2 2 3" xfId="3903"/>
    <cellStyle name="60% - 强调文字颜色 6 3 2 2 3 2" xfId="6868"/>
    <cellStyle name="60% - 强调文字颜色 6 3 2 2 3 3" xfId="6869"/>
    <cellStyle name="60% - 强调文字颜色 6 3 2 2 3 3 2" xfId="6870"/>
    <cellStyle name="60% - 强调文字颜色 6 3 2 3" xfId="380"/>
    <cellStyle name="60% - 强调文字颜色 6 3 2 3 2" xfId="3905"/>
    <cellStyle name="60% - 强调文字颜色 6 3 2 3 2 2" xfId="6871"/>
    <cellStyle name="60% - 强调文字颜色 6 3 2 3 2 3" xfId="6872"/>
    <cellStyle name="60% - 强调文字颜色 6 3 2 3 2 3 2" xfId="6873"/>
    <cellStyle name="60% - 强调文字颜色 6 3 2 4" xfId="3902"/>
    <cellStyle name="60% - 强调文字颜色 6 3 2 4 2" xfId="6874"/>
    <cellStyle name="60% - 强调文字颜色 6 3 2 4 3" xfId="6875"/>
    <cellStyle name="60% - 强调文字颜色 6 3 2 4 3 2" xfId="6876"/>
    <cellStyle name="60% - 强调文字颜色 6 3 3" xfId="1163"/>
    <cellStyle name="60% - 强调文字颜色 6 3 3 2" xfId="1165"/>
    <cellStyle name="60% - 强调文字颜色 6 3 3 2 2" xfId="3907"/>
    <cellStyle name="60% - 强调文字颜色 6 3 3 2 2 2" xfId="6877"/>
    <cellStyle name="60% - 强调文字颜色 6 3 3 2 2 3" xfId="6878"/>
    <cellStyle name="60% - 强调文字颜色 6 3 3 2 2 3 2" xfId="6879"/>
    <cellStyle name="60% - 强调文字颜色 6 3 3 3" xfId="3906"/>
    <cellStyle name="60% - 强调文字颜色 6 3 3 3 2" xfId="6880"/>
    <cellStyle name="60% - 强调文字颜色 6 3 3 3 3" xfId="6881"/>
    <cellStyle name="60% - 强调文字颜色 6 3 3 3 3 2" xfId="6882"/>
    <cellStyle name="60% - 强调文字颜色 6 3 4" xfId="1167"/>
    <cellStyle name="60% - 强调文字颜色 6 3 4 2" xfId="3908"/>
    <cellStyle name="60% - 强调文字颜色 6 3 4 2 2" xfId="6883"/>
    <cellStyle name="60% - 强调文字颜色 6 3 4 2 3" xfId="6884"/>
    <cellStyle name="60% - 强调文字颜色 6 3 4 2 3 2" xfId="6885"/>
    <cellStyle name="60% - 强调文字颜色 6 3 5" xfId="2530"/>
    <cellStyle name="60% - 强调文字颜色 6 3 5 2" xfId="6886"/>
    <cellStyle name="60% - 强调文字颜色 6 3 5 3" xfId="6887"/>
    <cellStyle name="60% - 强调文字颜色 6 3 5 3 2" xfId="6888"/>
    <cellStyle name="60% - 强调文字颜色 6 4" xfId="1169"/>
    <cellStyle name="60% - 强调文字颜色 6 4 2" xfId="1171"/>
    <cellStyle name="60% - 强调文字颜色 6 4 2 2" xfId="475"/>
    <cellStyle name="60% - 强调文字颜色 6 4 2 2 2" xfId="3911"/>
    <cellStyle name="60% - 强调文字颜色 6 4 2 2 2 2" xfId="6889"/>
    <cellStyle name="60% - 强调文字颜色 6 4 2 2 2 3" xfId="6890"/>
    <cellStyle name="60% - 强调文字颜色 6 4 2 2 2 3 2" xfId="6891"/>
    <cellStyle name="60% - 强调文字颜色 6 4 2 3" xfId="3910"/>
    <cellStyle name="60% - 强调文字颜色 6 4 2 3 2" xfId="6892"/>
    <cellStyle name="60% - 强调文字颜色 6 4 2 3 3" xfId="6893"/>
    <cellStyle name="60% - 强调文字颜色 6 4 2 3 3 2" xfId="6894"/>
    <cellStyle name="60% - 强调文字颜色 6 4 3" xfId="1173"/>
    <cellStyle name="60% - 强调文字颜色 6 4 3 2" xfId="3912"/>
    <cellStyle name="60% - 强调文字颜色 6 4 3 2 2" xfId="6895"/>
    <cellStyle name="60% - 强调文字颜色 6 4 3 2 3" xfId="6896"/>
    <cellStyle name="60% - 强调文字颜色 6 4 3 2 3 2" xfId="6897"/>
    <cellStyle name="60% - 强调文字颜色 6 4 4" xfId="3909"/>
    <cellStyle name="60% - 强调文字颜色 6 4 4 2" xfId="6898"/>
    <cellStyle name="60% - 强调文字颜色 6 4 4 3" xfId="6899"/>
    <cellStyle name="60% - 强调文字颜色 6 4 4 3 2" xfId="6900"/>
    <cellStyle name="60% - 强调文字颜色 6 5" xfId="1175"/>
    <cellStyle name="60% - 强调文字颜色 6 5 2" xfId="1179"/>
    <cellStyle name="60% - 强调文字颜色 6 5 2 2" xfId="1181"/>
    <cellStyle name="60% - 强调文字颜色 6 5 2 2 2" xfId="3915"/>
    <cellStyle name="60% - 强调文字颜色 6 5 2 2 2 2" xfId="6901"/>
    <cellStyle name="60% - 强调文字颜色 6 5 2 2 2 3" xfId="6902"/>
    <cellStyle name="60% - 强调文字颜色 6 5 2 2 2 3 2" xfId="6903"/>
    <cellStyle name="60% - 强调文字颜色 6 5 2 3" xfId="3914"/>
    <cellStyle name="60% - 强调文字颜色 6 5 2 3 2" xfId="6904"/>
    <cellStyle name="60% - 强调文字颜色 6 5 2 3 3" xfId="6905"/>
    <cellStyle name="60% - 强调文字颜色 6 5 2 3 3 2" xfId="6906"/>
    <cellStyle name="60% - 强调文字颜色 6 5 3" xfId="1184"/>
    <cellStyle name="60% - 强调文字颜色 6 5 3 2" xfId="3916"/>
    <cellStyle name="60% - 强调文字颜色 6 5 3 2 2" xfId="6907"/>
    <cellStyle name="60% - 强调文字颜色 6 5 3 2 3" xfId="6908"/>
    <cellStyle name="60% - 强调文字颜色 6 5 3 2 3 2" xfId="6909"/>
    <cellStyle name="60% - 强调文字颜色 6 5 4" xfId="3913"/>
    <cellStyle name="60% - 强调文字颜色 6 5 4 2" xfId="6910"/>
    <cellStyle name="60% - 强调文字颜色 6 5 4 3" xfId="6911"/>
    <cellStyle name="60% - 强调文字颜色 6 5 4 3 2" xfId="6912"/>
    <cellStyle name="60% - 强调文字颜色 6 6" xfId="1185"/>
    <cellStyle name="60% - 强调文字颜色 6 6 2" xfId="1186"/>
    <cellStyle name="60% - 强调文字颜色 6 6 2 2" xfId="3918"/>
    <cellStyle name="60% - 强调文字颜色 6 6 2 2 2" xfId="6913"/>
    <cellStyle name="60% - 强调文字颜色 6 6 2 2 3" xfId="6914"/>
    <cellStyle name="60% - 强调文字颜色 6 6 2 2 3 2" xfId="6915"/>
    <cellStyle name="60% - 强调文字颜色 6 6 3" xfId="3917"/>
    <cellStyle name="60% - 强调文字颜色 6 6 3 2" xfId="6916"/>
    <cellStyle name="60% - 强调文字颜色 6 6 3 3" xfId="6917"/>
    <cellStyle name="60% - 强调文字颜色 6 6 3 3 2" xfId="6918"/>
    <cellStyle name="60% - 强调文字颜色 6 7" xfId="1187"/>
    <cellStyle name="60% - 强调文字颜色 6 7 2" xfId="3919"/>
    <cellStyle name="60% - 强调文字颜色 6 7 2 2" xfId="6919"/>
    <cellStyle name="60% - 强调文字颜色 6 7 2 3" xfId="6920"/>
    <cellStyle name="60% - 强调文字颜色 6 7 2 3 2" xfId="6921"/>
    <cellStyle name="60% - 强调文字颜色 6 8" xfId="2524"/>
    <cellStyle name="60% - 强调文字颜色 6 8 2" xfId="6922"/>
    <cellStyle name="60% - 强调文字颜色 6 8 3" xfId="6923"/>
    <cellStyle name="60% - 强调文字颜色 6 8 3 2" xfId="6924"/>
    <cellStyle name="60% - 强调文字颜色 6 9" xfId="3891"/>
    <cellStyle name="60% - 强调文字颜色 6 9 2" xfId="6925"/>
    <cellStyle name="60% - 强调文字颜色 6 9 3" xfId="6926"/>
    <cellStyle name="60% - 强调文字颜色 6 9 3 2" xfId="6927"/>
    <cellStyle name="60% - 着色 1" xfId="2688"/>
    <cellStyle name="60% - 着色 1 2" xfId="2818"/>
    <cellStyle name="60% - 着色 2" xfId="2687"/>
    <cellStyle name="60% - 着色 2 2" xfId="2819"/>
    <cellStyle name="60% - 着色 3" xfId="2660"/>
    <cellStyle name="60% - 着色 3 2" xfId="2820"/>
    <cellStyle name="60% - 着色 4" xfId="2608"/>
    <cellStyle name="60% - 着色 4 2" xfId="2821"/>
    <cellStyle name="60% - 着色 5" xfId="2607"/>
    <cellStyle name="60% - 着色 6" xfId="2606"/>
    <cellStyle name="60% - 着色 6 2" xfId="2822"/>
    <cellStyle name="Calc Currency (0)" xfId="1188"/>
    <cellStyle name="Calc Currency (0) 2" xfId="3920"/>
    <cellStyle name="Calc Currency (0) 3" xfId="6928"/>
    <cellStyle name="Calc Currency (0) 4" xfId="6929"/>
    <cellStyle name="Calc Currency (0) 4 2" xfId="6930"/>
    <cellStyle name="Comma [0]" xfId="1190"/>
    <cellStyle name="Comma [0] 2" xfId="3921"/>
    <cellStyle name="Comma [0] 3" xfId="6931"/>
    <cellStyle name="comma zerodec" xfId="1191"/>
    <cellStyle name="comma zerodec 2" xfId="3922"/>
    <cellStyle name="comma zerodec 3" xfId="6932"/>
    <cellStyle name="comma zerodec 4" xfId="6933"/>
    <cellStyle name="comma zerodec 4 2" xfId="6934"/>
    <cellStyle name="Comma_1995" xfId="1193"/>
    <cellStyle name="Currency [0]" xfId="1194"/>
    <cellStyle name="Currency [0] 2" xfId="3923"/>
    <cellStyle name="Currency [0] 3" xfId="6935"/>
    <cellStyle name="Currency_1995" xfId="1195"/>
    <cellStyle name="Currency1" xfId="1197"/>
    <cellStyle name="Currency1 2" xfId="3924"/>
    <cellStyle name="Currency1 3" xfId="6936"/>
    <cellStyle name="Currency1 4" xfId="6937"/>
    <cellStyle name="Currency1 4 2" xfId="6938"/>
    <cellStyle name="Date" xfId="1198"/>
    <cellStyle name="Date 2" xfId="3925"/>
    <cellStyle name="Date 3" xfId="6939"/>
    <cellStyle name="Date 4" xfId="6940"/>
    <cellStyle name="Date 4 2" xfId="6941"/>
    <cellStyle name="Dollar (zero dec)" xfId="1199"/>
    <cellStyle name="Dollar (zero dec) 2" xfId="3926"/>
    <cellStyle name="Dollar (zero dec) 3" xfId="6942"/>
    <cellStyle name="Dollar (zero dec) 4" xfId="6943"/>
    <cellStyle name="Dollar (zero dec) 4 2" xfId="6944"/>
    <cellStyle name="Fixed" xfId="1202"/>
    <cellStyle name="Fixed 2" xfId="3927"/>
    <cellStyle name="Fixed 3" xfId="6945"/>
    <cellStyle name="Fixed 4" xfId="6946"/>
    <cellStyle name="Fixed 4 2" xfId="6947"/>
    <cellStyle name="Header1" xfId="1204"/>
    <cellStyle name="Header1 2" xfId="3928"/>
    <cellStyle name="Header1 3" xfId="6948"/>
    <cellStyle name="Header1 3 2" xfId="6949"/>
    <cellStyle name="Header2" xfId="1206"/>
    <cellStyle name="Header2 2" xfId="3929"/>
    <cellStyle name="Header2 2 2" xfId="6950"/>
    <cellStyle name="Header2 2 2 2" xfId="6951"/>
    <cellStyle name="Header2 2 2 2 2" xfId="6952"/>
    <cellStyle name="Header2 2 2 3" xfId="6953"/>
    <cellStyle name="Header2 2 3" xfId="6954"/>
    <cellStyle name="Header2 2 3 2" xfId="6955"/>
    <cellStyle name="Header2 2 3 2 2" xfId="6956"/>
    <cellStyle name="Header2 2 3 3" xfId="6957"/>
    <cellStyle name="Header2 2 4" xfId="6958"/>
    <cellStyle name="Header2 3" xfId="6959"/>
    <cellStyle name="Header2 3 2" xfId="6960"/>
    <cellStyle name="Header2 3 2 2" xfId="6961"/>
    <cellStyle name="Header2 3 3" xfId="6962"/>
    <cellStyle name="Header2 4" xfId="6963"/>
    <cellStyle name="Header2 4 2" xfId="6964"/>
    <cellStyle name="Header2 4 2 2" xfId="6965"/>
    <cellStyle name="Header2 4 2 2 2" xfId="6966"/>
    <cellStyle name="Header2 4 3" xfId="6967"/>
    <cellStyle name="Header2 4 3 2" xfId="6968"/>
    <cellStyle name="Header2 5" xfId="6969"/>
    <cellStyle name="Header2 5 2" xfId="6970"/>
    <cellStyle name="Header2 5 2 2" xfId="6971"/>
    <cellStyle name="Header2 5 2 2 2" xfId="6972"/>
    <cellStyle name="Header2 5 3" xfId="6973"/>
    <cellStyle name="Header2 5 3 2" xfId="6974"/>
    <cellStyle name="Header2 6" xfId="6975"/>
    <cellStyle name="Header2 6 2" xfId="6976"/>
    <cellStyle name="Header2 7" xfId="6977"/>
    <cellStyle name="Header2 7 2" xfId="6978"/>
    <cellStyle name="HEADING1" xfId="1207"/>
    <cellStyle name="HEADING1 2" xfId="3930"/>
    <cellStyle name="HEADING1 3" xfId="6979"/>
    <cellStyle name="HEADING1 4" xfId="6980"/>
    <cellStyle name="HEADING1 4 2" xfId="6981"/>
    <cellStyle name="HEADING2" xfId="1208"/>
    <cellStyle name="HEADING2 2" xfId="3931"/>
    <cellStyle name="HEADING2 3" xfId="6982"/>
    <cellStyle name="HEADING2 4" xfId="6983"/>
    <cellStyle name="HEADING2 4 2" xfId="6984"/>
    <cellStyle name="no dec" xfId="671"/>
    <cellStyle name="no dec 2" xfId="3932"/>
    <cellStyle name="no dec 3" xfId="6985"/>
    <cellStyle name="no dec 4" xfId="6986"/>
    <cellStyle name="no dec 4 2" xfId="6987"/>
    <cellStyle name="Norma,_laroux_4_营业在建 (2)_E21" xfId="472"/>
    <cellStyle name="Normal" xfId="6988"/>
    <cellStyle name="Percent_laroux" xfId="1210"/>
    <cellStyle name="Total" xfId="1211"/>
    <cellStyle name="Total 10" xfId="6989"/>
    <cellStyle name="Total 10 2" xfId="6990"/>
    <cellStyle name="Total 2" xfId="3933"/>
    <cellStyle name="Total 2 2" xfId="6991"/>
    <cellStyle name="Total 2 2 2" xfId="6992"/>
    <cellStyle name="Total 2 2 3" xfId="6993"/>
    <cellStyle name="Total 2 3" xfId="6994"/>
    <cellStyle name="Total 2 3 2" xfId="6995"/>
    <cellStyle name="Total 2 4" xfId="6996"/>
    <cellStyle name="Total 2 4 2" xfId="6997"/>
    <cellStyle name="Total 2 5" xfId="6998"/>
    <cellStyle name="Total 2 5 2" xfId="6999"/>
    <cellStyle name="Total 2 6" xfId="7000"/>
    <cellStyle name="Total 2 6 2" xfId="7001"/>
    <cellStyle name="Total 2 7" xfId="7002"/>
    <cellStyle name="Total 3" xfId="7003"/>
    <cellStyle name="Total 3 2" xfId="7004"/>
    <cellStyle name="Total 3 3" xfId="7005"/>
    <cellStyle name="Total 4" xfId="7006"/>
    <cellStyle name="Total 4 2" xfId="7007"/>
    <cellStyle name="Total 5" xfId="7008"/>
    <cellStyle name="Total 5 2" xfId="7009"/>
    <cellStyle name="Total 6" xfId="7010"/>
    <cellStyle name="Total 6 2" xfId="7011"/>
    <cellStyle name="Total 7" xfId="7012"/>
    <cellStyle name="Total 7 2" xfId="7013"/>
    <cellStyle name="Total 8" xfId="7014"/>
    <cellStyle name="Total 8 2" xfId="7015"/>
    <cellStyle name="Total 8 2 2" xfId="7016"/>
    <cellStyle name="Total 8 2 2 2" xfId="7017"/>
    <cellStyle name="Total 8 3" xfId="7018"/>
    <cellStyle name="Total 8 3 2" xfId="7019"/>
    <cellStyle name="Total 9" xfId="7020"/>
    <cellStyle name="Total 9 2" xfId="7021"/>
    <cellStyle name="Total 9 2 2" xfId="7022"/>
    <cellStyle name="百分比 2" xfId="1212"/>
    <cellStyle name="百分比 2 2" xfId="1213"/>
    <cellStyle name="百分比 2 2 2" xfId="1214"/>
    <cellStyle name="百分比 2 2 2 2" xfId="1215"/>
    <cellStyle name="百分比 2 2 2 2 2" xfId="254"/>
    <cellStyle name="百分比 2 2 2 2 2 2" xfId="3938"/>
    <cellStyle name="百分比 2 2 2 2 3" xfId="3937"/>
    <cellStyle name="百分比 2 2 2 3" xfId="1216"/>
    <cellStyle name="百分比 2 2 2 3 2" xfId="3939"/>
    <cellStyle name="百分比 2 2 2 4" xfId="3936"/>
    <cellStyle name="百分比 2 2 3" xfId="1217"/>
    <cellStyle name="百分比 2 2 3 2" xfId="1218"/>
    <cellStyle name="百分比 2 2 3 2 2" xfId="3941"/>
    <cellStyle name="百分比 2 2 3 3" xfId="3940"/>
    <cellStyle name="百分比 2 2 4" xfId="1219"/>
    <cellStyle name="百分比 2 2 4 2" xfId="3942"/>
    <cellStyle name="百分比 2 2 5" xfId="3935"/>
    <cellStyle name="百分比 2 3" xfId="1220"/>
    <cellStyle name="百分比 2 3 2" xfId="1221"/>
    <cellStyle name="百分比 2 3 2 2" xfId="1222"/>
    <cellStyle name="百分比 2 3 2 2 2" xfId="3945"/>
    <cellStyle name="百分比 2 3 2 2 3" xfId="7023"/>
    <cellStyle name="百分比 2 3 2 3" xfId="3944"/>
    <cellStyle name="百分比 2 3 2 4" xfId="7024"/>
    <cellStyle name="百分比 2 3 3" xfId="1223"/>
    <cellStyle name="百分比 2 3 3 2" xfId="3946"/>
    <cellStyle name="百分比 2 3 3 3" xfId="7025"/>
    <cellStyle name="百分比 2 3 4" xfId="3943"/>
    <cellStyle name="百分比 2 3 5" xfId="7026"/>
    <cellStyle name="百分比 2 4" xfId="1224"/>
    <cellStyle name="百分比 2 4 2" xfId="1225"/>
    <cellStyle name="百分比 2 4 2 2" xfId="3948"/>
    <cellStyle name="百分比 2 4 3" xfId="3947"/>
    <cellStyle name="百分比 2 5" xfId="1226"/>
    <cellStyle name="百分比 2 5 2" xfId="3949"/>
    <cellStyle name="百分比 2 6" xfId="3934"/>
    <cellStyle name="百分比 2 7" xfId="7027"/>
    <cellStyle name="百分比 3" xfId="1227"/>
    <cellStyle name="百分比 3 2" xfId="1228"/>
    <cellStyle name="百分比 3 2 2" xfId="1168"/>
    <cellStyle name="百分比 3 2 2 2" xfId="1170"/>
    <cellStyle name="百分比 3 2 2 2 2" xfId="3953"/>
    <cellStyle name="百分比 3 2 2 3" xfId="3952"/>
    <cellStyle name="百分比 3 2 3" xfId="1174"/>
    <cellStyle name="百分比 3 2 3 2" xfId="3954"/>
    <cellStyle name="百分比 3 2 4" xfId="3951"/>
    <cellStyle name="百分比 3 3" xfId="1229"/>
    <cellStyle name="百分比 3 3 2" xfId="1230"/>
    <cellStyle name="百分比 3 3 2 2" xfId="3956"/>
    <cellStyle name="百分比 3 3 3" xfId="3955"/>
    <cellStyle name="百分比 3 4" xfId="1231"/>
    <cellStyle name="百分比 3 4 2" xfId="3957"/>
    <cellStyle name="百分比 3 4 3" xfId="7028"/>
    <cellStyle name="百分比 3 5" xfId="1232"/>
    <cellStyle name="百分比 3 5 2" xfId="3958"/>
    <cellStyle name="百分比 3 6" xfId="3950"/>
    <cellStyle name="百分比 4" xfId="1233"/>
    <cellStyle name="百分比 4 2" xfId="1235"/>
    <cellStyle name="百分比 4 2 2" xfId="1237"/>
    <cellStyle name="百分比 4 2 2 2" xfId="1238"/>
    <cellStyle name="百分比 4 2 2 2 2" xfId="3962"/>
    <cellStyle name="百分比 4 2 2 2 3" xfId="7029"/>
    <cellStyle name="百分比 4 2 2 3" xfId="3961"/>
    <cellStyle name="百分比 4 2 2 4" xfId="7030"/>
    <cellStyle name="百分比 4 2 3" xfId="1240"/>
    <cellStyle name="百分比 4 2 3 2" xfId="3963"/>
    <cellStyle name="百分比 4 2 3 3" xfId="7031"/>
    <cellStyle name="百分比 4 2 4" xfId="3960"/>
    <cellStyle name="百分比 4 2 5" xfId="7032"/>
    <cellStyle name="百分比 4 3" xfId="1242"/>
    <cellStyle name="百分比 4 3 2" xfId="1245"/>
    <cellStyle name="百分比 4 3 2 2" xfId="3965"/>
    <cellStyle name="百分比 4 3 2 3" xfId="7033"/>
    <cellStyle name="百分比 4 3 3" xfId="3964"/>
    <cellStyle name="百分比 4 3 4" xfId="7034"/>
    <cellStyle name="百分比 4 4" xfId="1247"/>
    <cellStyle name="百分比 4 4 2" xfId="3966"/>
    <cellStyle name="百分比 4 4 3" xfId="7035"/>
    <cellStyle name="百分比 4 5" xfId="3959"/>
    <cellStyle name="百分比 4 6" xfId="7036"/>
    <cellStyle name="百分比 5" xfId="1249"/>
    <cellStyle name="百分比 5 2" xfId="1253"/>
    <cellStyle name="百分比 5 2 2" xfId="1255"/>
    <cellStyle name="百分比 5 2 2 2" xfId="1256"/>
    <cellStyle name="百分比 5 2 2 2 2" xfId="3970"/>
    <cellStyle name="百分比 5 2 2 2 3" xfId="7037"/>
    <cellStyle name="百分比 5 2 2 3" xfId="3969"/>
    <cellStyle name="百分比 5 2 2 4" xfId="7038"/>
    <cellStyle name="百分比 5 2 3" xfId="1258"/>
    <cellStyle name="百分比 5 2 3 2" xfId="3971"/>
    <cellStyle name="百分比 5 2 3 3" xfId="7039"/>
    <cellStyle name="百分比 5 2 4" xfId="3968"/>
    <cellStyle name="百分比 5 2 5" xfId="7040"/>
    <cellStyle name="百分比 5 3" xfId="1260"/>
    <cellStyle name="百分比 5 3 2" xfId="1261"/>
    <cellStyle name="百分比 5 3 2 2" xfId="3973"/>
    <cellStyle name="百分比 5 3 2 3" xfId="7041"/>
    <cellStyle name="百分比 5 3 3" xfId="3972"/>
    <cellStyle name="百分比 5 3 4" xfId="7042"/>
    <cellStyle name="百分比 5 4" xfId="1263"/>
    <cellStyle name="百分比 5 4 2" xfId="3974"/>
    <cellStyle name="百分比 5 4 3" xfId="7043"/>
    <cellStyle name="百分比 5 5" xfId="1265"/>
    <cellStyle name="百分比 5 5 2" xfId="3975"/>
    <cellStyle name="百分比 5 5 3" xfId="7044"/>
    <cellStyle name="百分比 5 6" xfId="3967"/>
    <cellStyle name="百分比 5 7" xfId="4983"/>
    <cellStyle name="百分比 5 8" xfId="7045"/>
    <cellStyle name="百分比 6" xfId="1267"/>
    <cellStyle name="百分比 6 2" xfId="1269"/>
    <cellStyle name="百分比 6 2 2" xfId="1271"/>
    <cellStyle name="百分比 6 2 2 2" xfId="1273"/>
    <cellStyle name="百分比 6 2 2 2 2" xfId="3979"/>
    <cellStyle name="百分比 6 2 2 3" xfId="3978"/>
    <cellStyle name="百分比 6 2 3" xfId="1275"/>
    <cellStyle name="百分比 6 2 3 2" xfId="3980"/>
    <cellStyle name="百分比 6 2 4" xfId="3977"/>
    <cellStyle name="百分比 6 3" xfId="1277"/>
    <cellStyle name="百分比 6 3 2" xfId="1278"/>
    <cellStyle name="百分比 6 3 2 2" xfId="3982"/>
    <cellStyle name="百分比 6 3 3" xfId="3981"/>
    <cellStyle name="百分比 6 4" xfId="1280"/>
    <cellStyle name="百分比 6 4 2" xfId="3983"/>
    <cellStyle name="百分比 6 5" xfId="3976"/>
    <cellStyle name="百分比 7" xfId="1281"/>
    <cellStyle name="百分比 7 2" xfId="1282"/>
    <cellStyle name="百分比 7 2 2" xfId="1283"/>
    <cellStyle name="百分比 7 2 2 2" xfId="1284"/>
    <cellStyle name="百分比 7 2 2 2 2" xfId="3987"/>
    <cellStyle name="百分比 7 2 2 2 3" xfId="7046"/>
    <cellStyle name="百分比 7 2 2 3" xfId="3986"/>
    <cellStyle name="百分比 7 2 2 4" xfId="7047"/>
    <cellStyle name="百分比 7 2 3" xfId="1285"/>
    <cellStyle name="百分比 7 2 3 2" xfId="3988"/>
    <cellStyle name="百分比 7 2 3 3" xfId="7048"/>
    <cellStyle name="百分比 7 2 4" xfId="3985"/>
    <cellStyle name="百分比 7 2 5" xfId="7049"/>
    <cellStyle name="百分比 7 3" xfId="1286"/>
    <cellStyle name="百分比 7 3 2" xfId="1287"/>
    <cellStyle name="百分比 7 3 2 2" xfId="3990"/>
    <cellStyle name="百分比 7 3 2 3" xfId="7050"/>
    <cellStyle name="百分比 7 3 3" xfId="3989"/>
    <cellStyle name="百分比 7 3 4" xfId="7051"/>
    <cellStyle name="百分比 7 4" xfId="1288"/>
    <cellStyle name="百分比 7 4 2" xfId="3991"/>
    <cellStyle name="百分比 7 4 3" xfId="7052"/>
    <cellStyle name="百分比 7 5" xfId="3984"/>
    <cellStyle name="百分比 7 6" xfId="7053"/>
    <cellStyle name="百分比 8" xfId="2719"/>
    <cellStyle name="标题" xfId="1289"/>
    <cellStyle name="标题 1" xfId="1290"/>
    <cellStyle name="标题 1 2" xfId="1291"/>
    <cellStyle name="标题 1 2 2" xfId="1293"/>
    <cellStyle name="标题 1 2 2 2" xfId="1294"/>
    <cellStyle name="标题 1 2 2 2 2" xfId="1295"/>
    <cellStyle name="标题 1 2 2 3" xfId="1297"/>
    <cellStyle name="标题 1 2 3" xfId="1298"/>
    <cellStyle name="标题 1 2 3 2" xfId="1299"/>
    <cellStyle name="标题 1 2 3 2 2" xfId="1063"/>
    <cellStyle name="标题 1 2 3 3" xfId="1301"/>
    <cellStyle name="标题 1 2 3 4" xfId="2532"/>
    <cellStyle name="标题 1 2 4" xfId="1302"/>
    <cellStyle name="标题 1 2 4 2" xfId="1303"/>
    <cellStyle name="标题 1 2 5" xfId="1304"/>
    <cellStyle name="标题 1 2_2015财政决算公开" xfId="3992"/>
    <cellStyle name="标题 1 3" xfId="1305"/>
    <cellStyle name="标题 1 3 2" xfId="1306"/>
    <cellStyle name="标题 1 3 2 2" xfId="1308"/>
    <cellStyle name="标题 1 3 2 2 2" xfId="1311"/>
    <cellStyle name="标题 1 3 2 3" xfId="1314"/>
    <cellStyle name="标题 1 3 3" xfId="1315"/>
    <cellStyle name="标题 1 3 3 2" xfId="1317"/>
    <cellStyle name="标题 1 3 4" xfId="1318"/>
    <cellStyle name="标题 1 4" xfId="1319"/>
    <cellStyle name="标题 1 4 2" xfId="1320"/>
    <cellStyle name="标题 1 4 2 2" xfId="739"/>
    <cellStyle name="标题 1 4 3" xfId="1321"/>
    <cellStyle name="标题 1 5" xfId="1322"/>
    <cellStyle name="标题 1 5 2" xfId="1324"/>
    <cellStyle name="标题 1 5 2 2" xfId="750"/>
    <cellStyle name="标题 1 5 3" xfId="1325"/>
    <cellStyle name="标题 1 6" xfId="1326"/>
    <cellStyle name="标题 1 6 2" xfId="1327"/>
    <cellStyle name="标题 1 7" xfId="1328"/>
    <cellStyle name="标题 1 8" xfId="2823"/>
    <cellStyle name="标题 10" xfId="2807"/>
    <cellStyle name="标题 11" xfId="7054"/>
    <cellStyle name="标题 12" xfId="7055"/>
    <cellStyle name="标题 13" xfId="7056"/>
    <cellStyle name="标题 14" xfId="7057"/>
    <cellStyle name="标题 15" xfId="7058"/>
    <cellStyle name="标题 16" xfId="7059"/>
    <cellStyle name="标题 2" xfId="1329"/>
    <cellStyle name="标题 2 2" xfId="1330"/>
    <cellStyle name="标题 2 2 2" xfId="1331"/>
    <cellStyle name="标题 2 2 2 2" xfId="1332"/>
    <cellStyle name="标题 2 2 2 2 2" xfId="1333"/>
    <cellStyle name="标题 2 2 2 3" xfId="1334"/>
    <cellStyle name="标题 2 2 3" xfId="1335"/>
    <cellStyle name="标题 2 2 3 2" xfId="1337"/>
    <cellStyle name="标题 2 2 3 2 2" xfId="1339"/>
    <cellStyle name="标题 2 2 3 3" xfId="1341"/>
    <cellStyle name="标题 2 2 3 4" xfId="2533"/>
    <cellStyle name="标题 2 2 4" xfId="548"/>
    <cellStyle name="标题 2 2 4 2" xfId="1343"/>
    <cellStyle name="标题 2 2 5" xfId="551"/>
    <cellStyle name="标题 2 2_2015财政决算公开" xfId="3993"/>
    <cellStyle name="标题 2 3" xfId="1344"/>
    <cellStyle name="标题 2 3 2" xfId="1345"/>
    <cellStyle name="标题 2 3 2 2" xfId="1346"/>
    <cellStyle name="标题 2 3 2 2 2" xfId="1347"/>
    <cellStyle name="标题 2 3 2 3" xfId="1348"/>
    <cellStyle name="标题 2 3 3" xfId="1349"/>
    <cellStyle name="标题 2 3 3 2" xfId="1350"/>
    <cellStyle name="标题 2 3 4" xfId="1351"/>
    <cellStyle name="标题 2 4" xfId="1352"/>
    <cellStyle name="标题 2 4 2" xfId="1353"/>
    <cellStyle name="标题 2 4 2 2" xfId="774"/>
    <cellStyle name="标题 2 4 3" xfId="1272"/>
    <cellStyle name="标题 2 5" xfId="1354"/>
    <cellStyle name="标题 2 5 2" xfId="1355"/>
    <cellStyle name="标题 2 5 2 2" xfId="791"/>
    <cellStyle name="标题 2 5 3" xfId="1356"/>
    <cellStyle name="标题 2 6" xfId="1357"/>
    <cellStyle name="标题 2 6 2" xfId="1358"/>
    <cellStyle name="标题 2 7" xfId="1359"/>
    <cellStyle name="标题 2 8" xfId="2824"/>
    <cellStyle name="标题 3" xfId="1360"/>
    <cellStyle name="标题 3 2" xfId="1361"/>
    <cellStyle name="标题 3 2 2" xfId="1363"/>
    <cellStyle name="标题 3 2 2 2" xfId="1366"/>
    <cellStyle name="标题 3 2 2 2 2" xfId="395"/>
    <cellStyle name="标题 3 2 2 3" xfId="1369"/>
    <cellStyle name="标题 3 2 3" xfId="1371"/>
    <cellStyle name="标题 3 2 3 2" xfId="1373"/>
    <cellStyle name="标题 3 2 3 2 2" xfId="455"/>
    <cellStyle name="标题 3 2 3 3" xfId="1374"/>
    <cellStyle name="标题 3 2 3 4" xfId="2534"/>
    <cellStyle name="标题 3 2 4" xfId="1376"/>
    <cellStyle name="标题 3 2 4 2" xfId="1377"/>
    <cellStyle name="标题 3 2 5" xfId="1378"/>
    <cellStyle name="标题 3 2_2015财政决算公开" xfId="3994"/>
    <cellStyle name="标题 3 3" xfId="1379"/>
    <cellStyle name="标题 3 3 2" xfId="1380"/>
    <cellStyle name="标题 3 3 2 2" xfId="997"/>
    <cellStyle name="标题 3 3 2 2 2" xfId="1381"/>
    <cellStyle name="标题 3 3 2 3" xfId="1382"/>
    <cellStyle name="标题 3 3 3" xfId="1383"/>
    <cellStyle name="标题 3 3 3 2" xfId="1037"/>
    <cellStyle name="标题 3 3 4" xfId="1384"/>
    <cellStyle name="标题 3 4" xfId="1385"/>
    <cellStyle name="标题 3 4 2" xfId="1386"/>
    <cellStyle name="标题 3 4 2 2" xfId="813"/>
    <cellStyle name="标题 3 4 3" xfId="1387"/>
    <cellStyle name="标题 3 5" xfId="1388"/>
    <cellStyle name="标题 3 5 2" xfId="1389"/>
    <cellStyle name="标题 3 5 2 2" xfId="833"/>
    <cellStyle name="标题 3 5 3" xfId="1391"/>
    <cellStyle name="标题 3 6" xfId="1392"/>
    <cellStyle name="标题 3 6 2" xfId="1393"/>
    <cellStyle name="标题 3 7" xfId="1394"/>
    <cellStyle name="标题 3 8" xfId="2825"/>
    <cellStyle name="标题 4" xfId="170"/>
    <cellStyle name="标题 4 2" xfId="1396"/>
    <cellStyle name="标题 4 2 2" xfId="1398"/>
    <cellStyle name="标题 4 2 2 2" xfId="1401"/>
    <cellStyle name="标题 4 2 2 2 2" xfId="1404"/>
    <cellStyle name="标题 4 2 2 3" xfId="1406"/>
    <cellStyle name="标题 4 2 3" xfId="1408"/>
    <cellStyle name="标题 4 2 3 2" xfId="1410"/>
    <cellStyle name="标题 4 2 3 2 2" xfId="1412"/>
    <cellStyle name="标题 4 2 3 3" xfId="1414"/>
    <cellStyle name="标题 4 2 3 4" xfId="2535"/>
    <cellStyle name="标题 4 2 4" xfId="1416"/>
    <cellStyle name="标题 4 2 4 2" xfId="1419"/>
    <cellStyle name="标题 4 2 5" xfId="1421"/>
    <cellStyle name="标题 4 2_2015财政决算公开" xfId="3995"/>
    <cellStyle name="标题 4 3" xfId="1423"/>
    <cellStyle name="标题 4 3 2" xfId="1425"/>
    <cellStyle name="标题 4 3 2 2" xfId="1428"/>
    <cellStyle name="标题 4 3 2 2 2" xfId="1431"/>
    <cellStyle name="标题 4 3 2 3" xfId="1433"/>
    <cellStyle name="标题 4 3 3" xfId="1435"/>
    <cellStyle name="标题 4 3 3 2" xfId="1437"/>
    <cellStyle name="标题 4 3 4" xfId="1439"/>
    <cellStyle name="标题 4 4" xfId="498"/>
    <cellStyle name="标题 4 4 2" xfId="501"/>
    <cellStyle name="标题 4 4 2 2" xfId="858"/>
    <cellStyle name="标题 4 4 3" xfId="504"/>
    <cellStyle name="标题 4 5" xfId="510"/>
    <cellStyle name="标题 4 5 2" xfId="513"/>
    <cellStyle name="标题 4 5 2 2" xfId="871"/>
    <cellStyle name="标题 4 5 3" xfId="516"/>
    <cellStyle name="标题 4 6" xfId="419"/>
    <cellStyle name="标题 4 6 2" xfId="422"/>
    <cellStyle name="标题 4 7" xfId="430"/>
    <cellStyle name="标题 4 8" xfId="2826"/>
    <cellStyle name="标题 5" xfId="153"/>
    <cellStyle name="标题 5 2" xfId="1440"/>
    <cellStyle name="标题 5 2 2" xfId="1441"/>
    <cellStyle name="标题 5 2 2 2" xfId="1443"/>
    <cellStyle name="标题 5 2 2 2 2" xfId="1445"/>
    <cellStyle name="标题 5 2 2 2 2 2" xfId="3999"/>
    <cellStyle name="标题 5 2 2 2 3" xfId="3998"/>
    <cellStyle name="标题 5 2 2 2_2015财政决算公开" xfId="4000"/>
    <cellStyle name="标题 5 2 2 3" xfId="1252"/>
    <cellStyle name="标题 5 2 2 3 2" xfId="4001"/>
    <cellStyle name="标题 5 2 2 4" xfId="2539"/>
    <cellStyle name="标题 5 2 2 5" xfId="3997"/>
    <cellStyle name="标题 5 2 2_2015财政决算公开" xfId="4002"/>
    <cellStyle name="标题 5 2 3" xfId="1446"/>
    <cellStyle name="标题 5 2 3 2" xfId="1448"/>
    <cellStyle name="标题 5 2 3 2 2" xfId="4004"/>
    <cellStyle name="标题 5 2 3 3" xfId="2540"/>
    <cellStyle name="标题 5 2 3 4" xfId="4003"/>
    <cellStyle name="标题 5 2 3_2015财政决算公开" xfId="4005"/>
    <cellStyle name="标题 5 2 4" xfId="1449"/>
    <cellStyle name="标题 5 2 4 2" xfId="4006"/>
    <cellStyle name="标题 5 2 5" xfId="2538"/>
    <cellStyle name="标题 5 2 6" xfId="3996"/>
    <cellStyle name="标题 5 2_2015财政决算公开" xfId="4007"/>
    <cellStyle name="标题 5 3" xfId="1450"/>
    <cellStyle name="标题 5 3 2" xfId="615"/>
    <cellStyle name="标题 5 3 2 2" xfId="617"/>
    <cellStyle name="标题 5 3 2 2 2" xfId="4010"/>
    <cellStyle name="标题 5 3 2 3" xfId="4009"/>
    <cellStyle name="标题 5 3 2_2015财政决算公开" xfId="4011"/>
    <cellStyle name="标题 5 3 3" xfId="645"/>
    <cellStyle name="标题 5 3 3 2" xfId="4012"/>
    <cellStyle name="标题 5 3 4" xfId="2541"/>
    <cellStyle name="标题 5 3 5" xfId="4008"/>
    <cellStyle name="标题 5 3_2015财政决算公开" xfId="4013"/>
    <cellStyle name="标题 5 4" xfId="518"/>
    <cellStyle name="标题 5 4 2" xfId="1451"/>
    <cellStyle name="标题 5 4 2 2" xfId="907"/>
    <cellStyle name="标题 5 4 3" xfId="1452"/>
    <cellStyle name="标题 5 5" xfId="1"/>
    <cellStyle name="标题 5 5 2" xfId="1453"/>
    <cellStyle name="标题 5 6" xfId="314"/>
    <cellStyle name="标题 5 7" xfId="2537"/>
    <cellStyle name="标题 5_2015财政决算公开" xfId="4014"/>
    <cellStyle name="标题 6" xfId="1454"/>
    <cellStyle name="标题 6 2" xfId="2542"/>
    <cellStyle name="标题 7" xfId="1455"/>
    <cellStyle name="标题 7 2" xfId="1456"/>
    <cellStyle name="标题 8" xfId="1457"/>
    <cellStyle name="标题 9" xfId="2531"/>
    <cellStyle name="表标题" xfId="1459"/>
    <cellStyle name="表标题 10" xfId="7060"/>
    <cellStyle name="表标题 10 2" xfId="7061"/>
    <cellStyle name="表标题 10 2 2" xfId="7062"/>
    <cellStyle name="表标题 10 3" xfId="7063"/>
    <cellStyle name="表标题 11" xfId="7064"/>
    <cellStyle name="表标题 11 2" xfId="7065"/>
    <cellStyle name="表标题 12" xfId="7066"/>
    <cellStyle name="表标题 2" xfId="1460"/>
    <cellStyle name="表标题 2 10" xfId="7067"/>
    <cellStyle name="表标题 2 10 2" xfId="7068"/>
    <cellStyle name="表标题 2 11" xfId="7069"/>
    <cellStyle name="表标题 2 2" xfId="1461"/>
    <cellStyle name="表标题 2 2 10" xfId="7070"/>
    <cellStyle name="表标题 2 2 2" xfId="1462"/>
    <cellStyle name="表标题 2 2 2 2" xfId="1463"/>
    <cellStyle name="表标题 2 2 2 2 2" xfId="7071"/>
    <cellStyle name="表标题 2 2 2 2 2 2" xfId="7072"/>
    <cellStyle name="表标题 2 2 2 2 2 2 2" xfId="7073"/>
    <cellStyle name="表标题 2 2 2 2 2 3" xfId="7074"/>
    <cellStyle name="表标题 2 2 2 2 2 3 2" xfId="7075"/>
    <cellStyle name="表标题 2 2 2 2 2 4" xfId="7076"/>
    <cellStyle name="表标题 2 2 2 2 3" xfId="7077"/>
    <cellStyle name="表标题 2 2 2 2 3 2" xfId="7078"/>
    <cellStyle name="表标题 2 2 2 2 3 2 2" xfId="7079"/>
    <cellStyle name="表标题 2 2 2 2 3 3" xfId="7080"/>
    <cellStyle name="表标题 2 2 2 2 4" xfId="7081"/>
    <cellStyle name="表标题 2 2 2 2 4 2" xfId="7082"/>
    <cellStyle name="表标题 2 2 2 2 4 2 2" xfId="7083"/>
    <cellStyle name="表标题 2 2 2 2 4 3" xfId="7084"/>
    <cellStyle name="表标题 2 2 2 2 5" xfId="7085"/>
    <cellStyle name="表标题 2 2 2 2 5 2" xfId="7086"/>
    <cellStyle name="表标题 2 2 2 2 5 2 2" xfId="7087"/>
    <cellStyle name="表标题 2 2 2 2 5 3" xfId="7088"/>
    <cellStyle name="表标题 2 2 2 2 6" xfId="7089"/>
    <cellStyle name="表标题 2 2 2 2 6 2" xfId="7090"/>
    <cellStyle name="表标题 2 2 2 2 6 2 2" xfId="7091"/>
    <cellStyle name="表标题 2 2 2 2 6 3" xfId="7092"/>
    <cellStyle name="表标题 2 2 2 2 7" xfId="7093"/>
    <cellStyle name="表标题 2 2 2 2 7 2" xfId="7094"/>
    <cellStyle name="表标题 2 2 2 2 8" xfId="7095"/>
    <cellStyle name="表标题 2 2 2 3" xfId="7096"/>
    <cellStyle name="表标题 2 2 2 3 2" xfId="7097"/>
    <cellStyle name="表标题 2 2 2 3 2 2" xfId="7098"/>
    <cellStyle name="表标题 2 2 2 3 3" xfId="7099"/>
    <cellStyle name="表标题 2 2 2 3 3 2" xfId="7100"/>
    <cellStyle name="表标题 2 2 2 3 4" xfId="7101"/>
    <cellStyle name="表标题 2 2 2 4" xfId="7102"/>
    <cellStyle name="表标题 2 2 2 4 2" xfId="7103"/>
    <cellStyle name="表标题 2 2 2 4 2 2" xfId="7104"/>
    <cellStyle name="表标题 2 2 2 4 3" xfId="7105"/>
    <cellStyle name="表标题 2 2 2 5" xfId="7106"/>
    <cellStyle name="表标题 2 2 2 5 2" xfId="7107"/>
    <cellStyle name="表标题 2 2 2 5 2 2" xfId="7108"/>
    <cellStyle name="表标题 2 2 2 5 3" xfId="7109"/>
    <cellStyle name="表标题 2 2 2 6" xfId="7110"/>
    <cellStyle name="表标题 2 2 2 6 2" xfId="7111"/>
    <cellStyle name="表标题 2 2 2 6 2 2" xfId="7112"/>
    <cellStyle name="表标题 2 2 2 6 3" xfId="7113"/>
    <cellStyle name="表标题 2 2 2 7" xfId="7114"/>
    <cellStyle name="表标题 2 2 2 7 2" xfId="7115"/>
    <cellStyle name="表标题 2 2 2 7 2 2" xfId="7116"/>
    <cellStyle name="表标题 2 2 2 7 3" xfId="7117"/>
    <cellStyle name="表标题 2 2 2 8" xfId="7118"/>
    <cellStyle name="表标题 2 2 2 8 2" xfId="7119"/>
    <cellStyle name="表标题 2 2 2 9" xfId="7120"/>
    <cellStyle name="表标题 2 2 3" xfId="1464"/>
    <cellStyle name="表标题 2 2 3 2" xfId="7121"/>
    <cellStyle name="表标题 2 2 3 2 2" xfId="7122"/>
    <cellStyle name="表标题 2 2 3 2 2 2" xfId="7123"/>
    <cellStyle name="表标题 2 2 3 2 3" xfId="7124"/>
    <cellStyle name="表标题 2 2 3 2 3 2" xfId="7125"/>
    <cellStyle name="表标题 2 2 3 2 4" xfId="7126"/>
    <cellStyle name="表标题 2 2 3 3" xfId="7127"/>
    <cellStyle name="表标题 2 2 3 3 2" xfId="7128"/>
    <cellStyle name="表标题 2 2 3 3 2 2" xfId="7129"/>
    <cellStyle name="表标题 2 2 3 3 3" xfId="7130"/>
    <cellStyle name="表标题 2 2 3 4" xfId="7131"/>
    <cellStyle name="表标题 2 2 3 4 2" xfId="7132"/>
    <cellStyle name="表标题 2 2 3 4 2 2" xfId="7133"/>
    <cellStyle name="表标题 2 2 3 4 3" xfId="7134"/>
    <cellStyle name="表标题 2 2 3 5" xfId="7135"/>
    <cellStyle name="表标题 2 2 3 5 2" xfId="7136"/>
    <cellStyle name="表标题 2 2 3 5 2 2" xfId="7137"/>
    <cellStyle name="表标题 2 2 3 5 3" xfId="7138"/>
    <cellStyle name="表标题 2 2 3 6" xfId="7139"/>
    <cellStyle name="表标题 2 2 3 6 2" xfId="7140"/>
    <cellStyle name="表标题 2 2 3 6 2 2" xfId="7141"/>
    <cellStyle name="表标题 2 2 3 6 3" xfId="7142"/>
    <cellStyle name="表标题 2 2 3 7" xfId="7143"/>
    <cellStyle name="表标题 2 2 3 7 2" xfId="7144"/>
    <cellStyle name="表标题 2 2 3 8" xfId="7145"/>
    <cellStyle name="表标题 2 2 4" xfId="7146"/>
    <cellStyle name="表标题 2 2 4 2" xfId="7147"/>
    <cellStyle name="表标题 2 2 4 2 2" xfId="7148"/>
    <cellStyle name="表标题 2 2 4 3" xfId="7149"/>
    <cellStyle name="表标题 2 2 4 3 2" xfId="7150"/>
    <cellStyle name="表标题 2 2 4 4" xfId="7151"/>
    <cellStyle name="表标题 2 2 5" xfId="7152"/>
    <cellStyle name="表标题 2 2 5 2" xfId="7153"/>
    <cellStyle name="表标题 2 2 5 2 2" xfId="7154"/>
    <cellStyle name="表标题 2 2 5 3" xfId="7155"/>
    <cellStyle name="表标题 2 2 6" xfId="7156"/>
    <cellStyle name="表标题 2 2 6 2" xfId="7157"/>
    <cellStyle name="表标题 2 2 6 2 2" xfId="7158"/>
    <cellStyle name="表标题 2 2 6 3" xfId="7159"/>
    <cellStyle name="表标题 2 2 7" xfId="7160"/>
    <cellStyle name="表标题 2 2 7 2" xfId="7161"/>
    <cellStyle name="表标题 2 2 7 2 2" xfId="7162"/>
    <cellStyle name="表标题 2 2 7 3" xfId="7163"/>
    <cellStyle name="表标题 2 2 8" xfId="7164"/>
    <cellStyle name="表标题 2 2 8 2" xfId="7165"/>
    <cellStyle name="表标题 2 2 8 2 2" xfId="7166"/>
    <cellStyle name="表标题 2 2 8 3" xfId="7167"/>
    <cellStyle name="表标题 2 2 9" xfId="7168"/>
    <cellStyle name="表标题 2 2 9 2" xfId="7169"/>
    <cellStyle name="表标题 2 3" xfId="1465"/>
    <cellStyle name="表标题 2 3 2" xfId="161"/>
    <cellStyle name="表标题 2 3 2 2" xfId="7170"/>
    <cellStyle name="表标题 2 3 2 2 2" xfId="7171"/>
    <cellStyle name="表标题 2 3 2 2 2 2" xfId="7172"/>
    <cellStyle name="表标题 2 3 2 2 3" xfId="7173"/>
    <cellStyle name="表标题 2 3 2 2 3 2" xfId="7174"/>
    <cellStyle name="表标题 2 3 2 2 4" xfId="7175"/>
    <cellStyle name="表标题 2 3 2 3" xfId="7176"/>
    <cellStyle name="表标题 2 3 2 3 2" xfId="7177"/>
    <cellStyle name="表标题 2 3 2 3 2 2" xfId="7178"/>
    <cellStyle name="表标题 2 3 2 3 3" xfId="7179"/>
    <cellStyle name="表标题 2 3 2 4" xfId="7180"/>
    <cellStyle name="表标题 2 3 2 4 2" xfId="7181"/>
    <cellStyle name="表标题 2 3 2 4 2 2" xfId="7182"/>
    <cellStyle name="表标题 2 3 2 4 3" xfId="7183"/>
    <cellStyle name="表标题 2 3 2 5" xfId="7184"/>
    <cellStyle name="表标题 2 3 2 5 2" xfId="7185"/>
    <cellStyle name="表标题 2 3 2 5 2 2" xfId="7186"/>
    <cellStyle name="表标题 2 3 2 5 3" xfId="7187"/>
    <cellStyle name="表标题 2 3 2 6" xfId="7188"/>
    <cellStyle name="表标题 2 3 2 6 2" xfId="7189"/>
    <cellStyle name="表标题 2 3 2 6 2 2" xfId="7190"/>
    <cellStyle name="表标题 2 3 2 6 3" xfId="7191"/>
    <cellStyle name="表标题 2 3 2 7" xfId="7192"/>
    <cellStyle name="表标题 2 3 2 7 2" xfId="7193"/>
    <cellStyle name="表标题 2 3 2 8" xfId="7194"/>
    <cellStyle name="表标题 2 3 3" xfId="7195"/>
    <cellStyle name="表标题 2 3 3 2" xfId="7196"/>
    <cellStyle name="表标题 2 3 3 2 2" xfId="7197"/>
    <cellStyle name="表标题 2 3 3 3" xfId="7198"/>
    <cellStyle name="表标题 2 3 3 3 2" xfId="7199"/>
    <cellStyle name="表标题 2 3 3 4" xfId="7200"/>
    <cellStyle name="表标题 2 3 4" xfId="7201"/>
    <cellStyle name="表标题 2 3 4 2" xfId="7202"/>
    <cellStyle name="表标题 2 3 4 2 2" xfId="7203"/>
    <cellStyle name="表标题 2 3 4 3" xfId="7204"/>
    <cellStyle name="表标题 2 3 5" xfId="7205"/>
    <cellStyle name="表标题 2 3 5 2" xfId="7206"/>
    <cellStyle name="表标题 2 3 5 2 2" xfId="7207"/>
    <cellStyle name="表标题 2 3 5 3" xfId="7208"/>
    <cellStyle name="表标题 2 3 6" xfId="7209"/>
    <cellStyle name="表标题 2 3 6 2" xfId="7210"/>
    <cellStyle name="表标题 2 3 6 2 2" xfId="7211"/>
    <cellStyle name="表标题 2 3 6 3" xfId="7212"/>
    <cellStyle name="表标题 2 3 7" xfId="7213"/>
    <cellStyle name="表标题 2 3 7 2" xfId="7214"/>
    <cellStyle name="表标题 2 3 7 2 2" xfId="7215"/>
    <cellStyle name="表标题 2 3 7 3" xfId="7216"/>
    <cellStyle name="表标题 2 3 8" xfId="7217"/>
    <cellStyle name="表标题 2 3 8 2" xfId="7218"/>
    <cellStyle name="表标题 2 3 9" xfId="7219"/>
    <cellStyle name="表标题 2 4" xfId="22"/>
    <cellStyle name="表标题 2 4 2" xfId="7220"/>
    <cellStyle name="表标题 2 4 2 2" xfId="7221"/>
    <cellStyle name="表标题 2 4 2 2 2" xfId="7222"/>
    <cellStyle name="表标题 2 4 2 3" xfId="7223"/>
    <cellStyle name="表标题 2 4 2 3 2" xfId="7224"/>
    <cellStyle name="表标题 2 4 2 4" xfId="7225"/>
    <cellStyle name="表标题 2 4 3" xfId="7226"/>
    <cellStyle name="表标题 2 4 3 2" xfId="7227"/>
    <cellStyle name="表标题 2 4 3 2 2" xfId="7228"/>
    <cellStyle name="表标题 2 4 3 3" xfId="7229"/>
    <cellStyle name="表标题 2 4 4" xfId="7230"/>
    <cellStyle name="表标题 2 4 4 2" xfId="7231"/>
    <cellStyle name="表标题 2 4 4 2 2" xfId="7232"/>
    <cellStyle name="表标题 2 4 4 3" xfId="7233"/>
    <cellStyle name="表标题 2 4 5" xfId="7234"/>
    <cellStyle name="表标题 2 4 5 2" xfId="7235"/>
    <cellStyle name="表标题 2 4 5 2 2" xfId="7236"/>
    <cellStyle name="表标题 2 4 5 3" xfId="7237"/>
    <cellStyle name="表标题 2 4 6" xfId="7238"/>
    <cellStyle name="表标题 2 4 6 2" xfId="7239"/>
    <cellStyle name="表标题 2 4 6 2 2" xfId="7240"/>
    <cellStyle name="表标题 2 4 6 3" xfId="7241"/>
    <cellStyle name="表标题 2 4 7" xfId="7242"/>
    <cellStyle name="表标题 2 4 7 2" xfId="7243"/>
    <cellStyle name="表标题 2 4 8" xfId="7244"/>
    <cellStyle name="表标题 2 5" xfId="7245"/>
    <cellStyle name="表标题 2 5 2" xfId="7246"/>
    <cellStyle name="表标题 2 5 2 2" xfId="7247"/>
    <cellStyle name="表标题 2 5 3" xfId="7248"/>
    <cellStyle name="表标题 2 5 3 2" xfId="7249"/>
    <cellStyle name="表标题 2 5 4" xfId="7250"/>
    <cellStyle name="表标题 2 6" xfId="7251"/>
    <cellStyle name="表标题 2 6 2" xfId="7252"/>
    <cellStyle name="表标题 2 6 2 2" xfId="7253"/>
    <cellStyle name="表标题 2 6 3" xfId="7254"/>
    <cellStyle name="表标题 2 7" xfId="7255"/>
    <cellStyle name="表标题 2 7 2" xfId="7256"/>
    <cellStyle name="表标题 2 7 2 2" xfId="7257"/>
    <cellStyle name="表标题 2 7 3" xfId="7258"/>
    <cellStyle name="表标题 2 8" xfId="7259"/>
    <cellStyle name="表标题 2 8 2" xfId="7260"/>
    <cellStyle name="表标题 2 8 2 2" xfId="7261"/>
    <cellStyle name="表标题 2 8 3" xfId="7262"/>
    <cellStyle name="表标题 2 9" xfId="7263"/>
    <cellStyle name="表标题 2 9 2" xfId="7264"/>
    <cellStyle name="表标题 2 9 2 2" xfId="7265"/>
    <cellStyle name="表标题 2 9 3" xfId="7266"/>
    <cellStyle name="表标题 3" xfId="1466"/>
    <cellStyle name="表标题 3 10" xfId="7267"/>
    <cellStyle name="表标题 3 2" xfId="1468"/>
    <cellStyle name="表标题 3 2 2" xfId="208"/>
    <cellStyle name="表标题 3 2 2 2" xfId="7268"/>
    <cellStyle name="表标题 3 2 2 2 2" xfId="7269"/>
    <cellStyle name="表标题 3 2 2 2 2 2" xfId="7270"/>
    <cellStyle name="表标题 3 2 2 2 3" xfId="7271"/>
    <cellStyle name="表标题 3 2 2 2 3 2" xfId="7272"/>
    <cellStyle name="表标题 3 2 2 2 4" xfId="7273"/>
    <cellStyle name="表标题 3 2 2 3" xfId="7274"/>
    <cellStyle name="表标题 3 2 2 3 2" xfId="7275"/>
    <cellStyle name="表标题 3 2 2 3 2 2" xfId="7276"/>
    <cellStyle name="表标题 3 2 2 3 3" xfId="7277"/>
    <cellStyle name="表标题 3 2 2 4" xfId="7278"/>
    <cellStyle name="表标题 3 2 2 4 2" xfId="7279"/>
    <cellStyle name="表标题 3 2 2 4 2 2" xfId="7280"/>
    <cellStyle name="表标题 3 2 2 4 3" xfId="7281"/>
    <cellStyle name="表标题 3 2 2 5" xfId="7282"/>
    <cellStyle name="表标题 3 2 2 5 2" xfId="7283"/>
    <cellStyle name="表标题 3 2 2 5 2 2" xfId="7284"/>
    <cellStyle name="表标题 3 2 2 5 3" xfId="7285"/>
    <cellStyle name="表标题 3 2 2 6" xfId="7286"/>
    <cellStyle name="表标题 3 2 2 6 2" xfId="7287"/>
    <cellStyle name="表标题 3 2 2 6 2 2" xfId="7288"/>
    <cellStyle name="表标题 3 2 2 6 3" xfId="7289"/>
    <cellStyle name="表标题 3 2 2 7" xfId="7290"/>
    <cellStyle name="表标题 3 2 2 7 2" xfId="7291"/>
    <cellStyle name="表标题 3 2 2 8" xfId="7292"/>
    <cellStyle name="表标题 3 2 3" xfId="7293"/>
    <cellStyle name="表标题 3 2 3 2" xfId="7294"/>
    <cellStyle name="表标题 3 2 3 2 2" xfId="7295"/>
    <cellStyle name="表标题 3 2 3 3" xfId="7296"/>
    <cellStyle name="表标题 3 2 3 3 2" xfId="7297"/>
    <cellStyle name="表标题 3 2 3 4" xfId="7298"/>
    <cellStyle name="表标题 3 2 4" xfId="7299"/>
    <cellStyle name="表标题 3 2 4 2" xfId="7300"/>
    <cellStyle name="表标题 3 2 4 2 2" xfId="7301"/>
    <cellStyle name="表标题 3 2 4 3" xfId="7302"/>
    <cellStyle name="表标题 3 2 5" xfId="7303"/>
    <cellStyle name="表标题 3 2 5 2" xfId="7304"/>
    <cellStyle name="表标题 3 2 5 2 2" xfId="7305"/>
    <cellStyle name="表标题 3 2 5 3" xfId="7306"/>
    <cellStyle name="表标题 3 2 6" xfId="7307"/>
    <cellStyle name="表标题 3 2 6 2" xfId="7308"/>
    <cellStyle name="表标题 3 2 6 2 2" xfId="7309"/>
    <cellStyle name="表标题 3 2 6 3" xfId="7310"/>
    <cellStyle name="表标题 3 2 7" xfId="7311"/>
    <cellStyle name="表标题 3 2 7 2" xfId="7312"/>
    <cellStyle name="表标题 3 2 7 2 2" xfId="7313"/>
    <cellStyle name="表标题 3 2 7 3" xfId="7314"/>
    <cellStyle name="表标题 3 2 8" xfId="7315"/>
    <cellStyle name="表标题 3 2 8 2" xfId="7316"/>
    <cellStyle name="表标题 3 2 9" xfId="7317"/>
    <cellStyle name="表标题 3 3" xfId="1470"/>
    <cellStyle name="表标题 3 3 2" xfId="7318"/>
    <cellStyle name="表标题 3 3 2 2" xfId="7319"/>
    <cellStyle name="表标题 3 3 2 2 2" xfId="7320"/>
    <cellStyle name="表标题 3 3 2 3" xfId="7321"/>
    <cellStyle name="表标题 3 3 2 3 2" xfId="7322"/>
    <cellStyle name="表标题 3 3 2 4" xfId="7323"/>
    <cellStyle name="表标题 3 3 3" xfId="7324"/>
    <cellStyle name="表标题 3 3 3 2" xfId="7325"/>
    <cellStyle name="表标题 3 3 3 2 2" xfId="7326"/>
    <cellStyle name="表标题 3 3 3 3" xfId="7327"/>
    <cellStyle name="表标题 3 3 4" xfId="7328"/>
    <cellStyle name="表标题 3 3 4 2" xfId="7329"/>
    <cellStyle name="表标题 3 3 4 2 2" xfId="7330"/>
    <cellStyle name="表标题 3 3 4 3" xfId="7331"/>
    <cellStyle name="表标题 3 3 5" xfId="7332"/>
    <cellStyle name="表标题 3 3 5 2" xfId="7333"/>
    <cellStyle name="表标题 3 3 5 2 2" xfId="7334"/>
    <cellStyle name="表标题 3 3 5 3" xfId="7335"/>
    <cellStyle name="表标题 3 3 6" xfId="7336"/>
    <cellStyle name="表标题 3 3 6 2" xfId="7337"/>
    <cellStyle name="表标题 3 3 6 2 2" xfId="7338"/>
    <cellStyle name="表标题 3 3 6 3" xfId="7339"/>
    <cellStyle name="表标题 3 3 7" xfId="7340"/>
    <cellStyle name="表标题 3 3 7 2" xfId="7341"/>
    <cellStyle name="表标题 3 3 8" xfId="7342"/>
    <cellStyle name="表标题 3 4" xfId="7343"/>
    <cellStyle name="表标题 3 4 2" xfId="7344"/>
    <cellStyle name="表标题 3 4 2 2" xfId="7345"/>
    <cellStyle name="表标题 3 4 3" xfId="7346"/>
    <cellStyle name="表标题 3 4 3 2" xfId="7347"/>
    <cellStyle name="表标题 3 4 4" xfId="7348"/>
    <cellStyle name="表标题 3 5" xfId="7349"/>
    <cellStyle name="表标题 3 5 2" xfId="7350"/>
    <cellStyle name="表标题 3 5 2 2" xfId="7351"/>
    <cellStyle name="表标题 3 5 3" xfId="7352"/>
    <cellStyle name="表标题 3 6" xfId="7353"/>
    <cellStyle name="表标题 3 6 2" xfId="7354"/>
    <cellStyle name="表标题 3 6 2 2" xfId="7355"/>
    <cellStyle name="表标题 3 6 3" xfId="7356"/>
    <cellStyle name="表标题 3 7" xfId="7357"/>
    <cellStyle name="表标题 3 7 2" xfId="7358"/>
    <cellStyle name="表标题 3 7 2 2" xfId="7359"/>
    <cellStyle name="表标题 3 7 3" xfId="7360"/>
    <cellStyle name="表标题 3 8" xfId="7361"/>
    <cellStyle name="表标题 3 8 2" xfId="7362"/>
    <cellStyle name="表标题 3 8 2 2" xfId="7363"/>
    <cellStyle name="表标题 3 8 3" xfId="7364"/>
    <cellStyle name="表标题 3 9" xfId="7365"/>
    <cellStyle name="表标题 3 9 2" xfId="7366"/>
    <cellStyle name="表标题 4" xfId="1471"/>
    <cellStyle name="表标题 4 2" xfId="1473"/>
    <cellStyle name="表标题 4 2 2" xfId="7367"/>
    <cellStyle name="表标题 4 2 2 2" xfId="7368"/>
    <cellStyle name="表标题 4 2 2 2 2" xfId="7369"/>
    <cellStyle name="表标题 4 2 2 3" xfId="7370"/>
    <cellStyle name="表标题 4 2 2 3 2" xfId="7371"/>
    <cellStyle name="表标题 4 2 2 4" xfId="7372"/>
    <cellStyle name="表标题 4 2 3" xfId="7373"/>
    <cellStyle name="表标题 4 2 3 2" xfId="7374"/>
    <cellStyle name="表标题 4 2 3 2 2" xfId="7375"/>
    <cellStyle name="表标题 4 2 3 3" xfId="7376"/>
    <cellStyle name="表标题 4 2 4" xfId="7377"/>
    <cellStyle name="表标题 4 2 4 2" xfId="7378"/>
    <cellStyle name="表标题 4 2 4 2 2" xfId="7379"/>
    <cellStyle name="表标题 4 2 4 3" xfId="7380"/>
    <cellStyle name="表标题 4 2 5" xfId="7381"/>
    <cellStyle name="表标题 4 2 5 2" xfId="7382"/>
    <cellStyle name="表标题 4 2 5 2 2" xfId="7383"/>
    <cellStyle name="表标题 4 2 5 3" xfId="7384"/>
    <cellStyle name="表标题 4 2 6" xfId="7385"/>
    <cellStyle name="表标题 4 2 6 2" xfId="7386"/>
    <cellStyle name="表标题 4 2 6 2 2" xfId="7387"/>
    <cellStyle name="表标题 4 2 6 3" xfId="7388"/>
    <cellStyle name="表标题 4 2 7" xfId="7389"/>
    <cellStyle name="表标题 4 2 7 2" xfId="7390"/>
    <cellStyle name="表标题 4 2 8" xfId="7391"/>
    <cellStyle name="表标题 4 3" xfId="7392"/>
    <cellStyle name="表标题 4 3 2" xfId="7393"/>
    <cellStyle name="表标题 4 3 2 2" xfId="7394"/>
    <cellStyle name="表标题 4 3 3" xfId="7395"/>
    <cellStyle name="表标题 4 3 3 2" xfId="7396"/>
    <cellStyle name="表标题 4 3 4" xfId="7397"/>
    <cellStyle name="表标题 4 4" xfId="7398"/>
    <cellStyle name="表标题 4 4 2" xfId="7399"/>
    <cellStyle name="表标题 4 4 2 2" xfId="7400"/>
    <cellStyle name="表标题 4 4 3" xfId="7401"/>
    <cellStyle name="表标题 4 5" xfId="7402"/>
    <cellStyle name="表标题 4 5 2" xfId="7403"/>
    <cellStyle name="表标题 4 5 2 2" xfId="7404"/>
    <cellStyle name="表标题 4 5 3" xfId="7405"/>
    <cellStyle name="表标题 4 6" xfId="7406"/>
    <cellStyle name="表标题 4 6 2" xfId="7407"/>
    <cellStyle name="表标题 4 6 2 2" xfId="7408"/>
    <cellStyle name="表标题 4 6 3" xfId="7409"/>
    <cellStyle name="表标题 4 7" xfId="7410"/>
    <cellStyle name="表标题 4 7 2" xfId="7411"/>
    <cellStyle name="表标题 4 7 2 2" xfId="7412"/>
    <cellStyle name="表标题 4 7 3" xfId="7413"/>
    <cellStyle name="表标题 4 8" xfId="7414"/>
    <cellStyle name="表标题 4 8 2" xfId="7415"/>
    <cellStyle name="表标题 4 9" xfId="7416"/>
    <cellStyle name="表标题 5" xfId="1474"/>
    <cellStyle name="表标题 5 2" xfId="7417"/>
    <cellStyle name="表标题 5 2 2" xfId="7418"/>
    <cellStyle name="表标题 5 2 2 2" xfId="7419"/>
    <cellStyle name="表标题 5 2 3" xfId="7420"/>
    <cellStyle name="表标题 5 2 3 2" xfId="7421"/>
    <cellStyle name="表标题 5 2 4" xfId="7422"/>
    <cellStyle name="表标题 5 3" xfId="7423"/>
    <cellStyle name="表标题 5 3 2" xfId="7424"/>
    <cellStyle name="表标题 5 3 2 2" xfId="7425"/>
    <cellStyle name="表标题 5 3 3" xfId="7426"/>
    <cellStyle name="表标题 5 4" xfId="7427"/>
    <cellStyle name="表标题 5 4 2" xfId="7428"/>
    <cellStyle name="表标题 5 4 2 2" xfId="7429"/>
    <cellStyle name="表标题 5 4 3" xfId="7430"/>
    <cellStyle name="表标题 5 5" xfId="7431"/>
    <cellStyle name="表标题 5 5 2" xfId="7432"/>
    <cellStyle name="表标题 5 5 2 2" xfId="7433"/>
    <cellStyle name="表标题 5 5 3" xfId="7434"/>
    <cellStyle name="表标题 5 6" xfId="7435"/>
    <cellStyle name="表标题 5 6 2" xfId="7436"/>
    <cellStyle name="表标题 5 6 2 2" xfId="7437"/>
    <cellStyle name="表标题 5 6 3" xfId="7438"/>
    <cellStyle name="表标题 5 7" xfId="7439"/>
    <cellStyle name="表标题 5 7 2" xfId="7440"/>
    <cellStyle name="表标题 5 8" xfId="7441"/>
    <cellStyle name="表标题 6" xfId="7442"/>
    <cellStyle name="表标题 6 2" xfId="7443"/>
    <cellStyle name="表标题 6 2 2" xfId="7444"/>
    <cellStyle name="表标题 6 3" xfId="7445"/>
    <cellStyle name="表标题 6 3 2" xfId="7446"/>
    <cellStyle name="表标题 6 4" xfId="7447"/>
    <cellStyle name="表标题 7" xfId="7448"/>
    <cellStyle name="表标题 7 2" xfId="7449"/>
    <cellStyle name="表标题 7 2 2" xfId="7450"/>
    <cellStyle name="表标题 7 3" xfId="7451"/>
    <cellStyle name="表标题 8" xfId="7452"/>
    <cellStyle name="表标题 8 2" xfId="7453"/>
    <cellStyle name="表标题 8 2 2" xfId="7454"/>
    <cellStyle name="表标题 8 3" xfId="7455"/>
    <cellStyle name="表标题 9" xfId="7456"/>
    <cellStyle name="表标题 9 2" xfId="7457"/>
    <cellStyle name="表标题 9 2 2" xfId="7458"/>
    <cellStyle name="表标题 9 3" xfId="7459"/>
    <cellStyle name="差" xfId="1475"/>
    <cellStyle name="差 2" xfId="1477"/>
    <cellStyle name="差 2 2" xfId="1479"/>
    <cellStyle name="差 2 2 2" xfId="271"/>
    <cellStyle name="差 2 2 2 2" xfId="273"/>
    <cellStyle name="差 2 2 2 2 2" xfId="4015"/>
    <cellStyle name="差 2 2 2 2 2 2" xfId="7460"/>
    <cellStyle name="差 2 2 2 2 2 3" xfId="7461"/>
    <cellStyle name="差 2 2 2 2 2 3 2" xfId="7462"/>
    <cellStyle name="差 2 2 2 3" xfId="2546"/>
    <cellStyle name="差 2 2 2 3 2" xfId="7463"/>
    <cellStyle name="差 2 2 2 3 3" xfId="7464"/>
    <cellStyle name="差 2 2 2 3 3 2" xfId="7465"/>
    <cellStyle name="差 2 2 3" xfId="279"/>
    <cellStyle name="差 2 2 3 2" xfId="2547"/>
    <cellStyle name="差 2 2 3 2 2" xfId="7466"/>
    <cellStyle name="差 2 2 3 2 3" xfId="7467"/>
    <cellStyle name="差 2 2 3 2 3 2" xfId="7468"/>
    <cellStyle name="差 2 2 4" xfId="2545"/>
    <cellStyle name="差 2 2 4 2" xfId="7469"/>
    <cellStyle name="差 2 2 4 3" xfId="7470"/>
    <cellStyle name="差 2 2 4 3 2" xfId="7471"/>
    <cellStyle name="差 2 3" xfId="1481"/>
    <cellStyle name="差 2 3 2" xfId="230"/>
    <cellStyle name="差 2 3 2 2" xfId="4016"/>
    <cellStyle name="差 2 3 2 2 2" xfId="7472"/>
    <cellStyle name="差 2 3 2 2 3" xfId="7473"/>
    <cellStyle name="差 2 3 2 2 3 2" xfId="7474"/>
    <cellStyle name="差 2 3 3" xfId="2548"/>
    <cellStyle name="差 2 3 3 2" xfId="7475"/>
    <cellStyle name="差 2 3 3 3" xfId="7476"/>
    <cellStyle name="差 2 3 3 3 2" xfId="7477"/>
    <cellStyle name="差 2 4" xfId="1482"/>
    <cellStyle name="差 2 4 2" xfId="4017"/>
    <cellStyle name="差 2 4 2 2" xfId="7478"/>
    <cellStyle name="差 2 4 2 3" xfId="7479"/>
    <cellStyle name="差 2 4 2 3 2" xfId="7480"/>
    <cellStyle name="差 2 5" xfId="2544"/>
    <cellStyle name="差 2 5 2" xfId="7481"/>
    <cellStyle name="差 2 5 3" xfId="7482"/>
    <cellStyle name="差 2 5 3 2" xfId="7483"/>
    <cellStyle name="差 2_2015财政决算公开" xfId="4018"/>
    <cellStyle name="差 3" xfId="1484"/>
    <cellStyle name="差 3 2" xfId="1486"/>
    <cellStyle name="差 3 2 2" xfId="485"/>
    <cellStyle name="差 3 2 2 2" xfId="122"/>
    <cellStyle name="差 3 2 2 2 2" xfId="4021"/>
    <cellStyle name="差 3 2 2 2 2 2" xfId="7484"/>
    <cellStyle name="差 3 2 2 2 2 3" xfId="7485"/>
    <cellStyle name="差 3 2 2 2 2 3 2" xfId="7486"/>
    <cellStyle name="差 3 2 2 3" xfId="4020"/>
    <cellStyle name="差 3 2 2 3 2" xfId="7487"/>
    <cellStyle name="差 3 2 2 3 3" xfId="7488"/>
    <cellStyle name="差 3 2 2 3 3 2" xfId="7489"/>
    <cellStyle name="差 3 2 3" xfId="323"/>
    <cellStyle name="差 3 2 3 2" xfId="4022"/>
    <cellStyle name="差 3 2 3 2 2" xfId="7490"/>
    <cellStyle name="差 3 2 3 2 3" xfId="7491"/>
    <cellStyle name="差 3 2 3 2 3 2" xfId="7492"/>
    <cellStyle name="差 3 2 4" xfId="4019"/>
    <cellStyle name="差 3 2 4 2" xfId="7493"/>
    <cellStyle name="差 3 2 4 3" xfId="7494"/>
    <cellStyle name="差 3 2 4 3 2" xfId="7495"/>
    <cellStyle name="差 3 3" xfId="1488"/>
    <cellStyle name="差 3 3 2" xfId="1489"/>
    <cellStyle name="差 3 3 2 2" xfId="4024"/>
    <cellStyle name="差 3 3 2 2 2" xfId="7496"/>
    <cellStyle name="差 3 3 2 2 3" xfId="7497"/>
    <cellStyle name="差 3 3 2 2 3 2" xfId="7498"/>
    <cellStyle name="差 3 3 3" xfId="4023"/>
    <cellStyle name="差 3 3 3 2" xfId="7499"/>
    <cellStyle name="差 3 3 3 3" xfId="7500"/>
    <cellStyle name="差 3 3 3 3 2" xfId="7501"/>
    <cellStyle name="差 3 4" xfId="1490"/>
    <cellStyle name="差 3 4 2" xfId="4025"/>
    <cellStyle name="差 3 4 2 2" xfId="7502"/>
    <cellStyle name="差 3 4 2 3" xfId="7503"/>
    <cellStyle name="差 3 4 2 3 2" xfId="7504"/>
    <cellStyle name="差 3 5" xfId="2549"/>
    <cellStyle name="差 3 5 2" xfId="7505"/>
    <cellStyle name="差 3 5 3" xfId="7506"/>
    <cellStyle name="差 3 5 3 2" xfId="7507"/>
    <cellStyle name="差 4" xfId="1492"/>
    <cellStyle name="差 4 2" xfId="1493"/>
    <cellStyle name="差 4 2 2" xfId="525"/>
    <cellStyle name="差 4 2 2 2" xfId="4028"/>
    <cellStyle name="差 4 2 2 2 2" xfId="7508"/>
    <cellStyle name="差 4 2 2 2 3" xfId="7509"/>
    <cellStyle name="差 4 2 2 2 3 2" xfId="7510"/>
    <cellStyle name="差 4 2 3" xfId="4027"/>
    <cellStyle name="差 4 2 3 2" xfId="7511"/>
    <cellStyle name="差 4 2 3 3" xfId="7512"/>
    <cellStyle name="差 4 2 3 3 2" xfId="7513"/>
    <cellStyle name="差 4 3" xfId="1494"/>
    <cellStyle name="差 4 3 2" xfId="4029"/>
    <cellStyle name="差 4 3 2 2" xfId="7514"/>
    <cellStyle name="差 4 3 2 3" xfId="7515"/>
    <cellStyle name="差 4 3 2 3 2" xfId="7516"/>
    <cellStyle name="差 4 4" xfId="4026"/>
    <cellStyle name="差 4 4 2" xfId="7517"/>
    <cellStyle name="差 4 4 3" xfId="7518"/>
    <cellStyle name="差 4 4 3 2" xfId="7519"/>
    <cellStyle name="差 5" xfId="1495"/>
    <cellStyle name="差 5 2" xfId="1496"/>
    <cellStyle name="差 5 2 2" xfId="1497"/>
    <cellStyle name="差 5 2 2 2" xfId="4032"/>
    <cellStyle name="差 5 2 2 2 2" xfId="7520"/>
    <cellStyle name="差 5 2 2 2 3" xfId="7521"/>
    <cellStyle name="差 5 2 2 2 3 2" xfId="7522"/>
    <cellStyle name="差 5 2 3" xfId="4031"/>
    <cellStyle name="差 5 2 3 2" xfId="7523"/>
    <cellStyle name="差 5 2 3 3" xfId="7524"/>
    <cellStyle name="差 5 2 3 3 2" xfId="7525"/>
    <cellStyle name="差 5 3" xfId="1498"/>
    <cellStyle name="差 5 3 2" xfId="4033"/>
    <cellStyle name="差 5 3 2 2" xfId="7526"/>
    <cellStyle name="差 5 3 2 3" xfId="7527"/>
    <cellStyle name="差 5 3 2 3 2" xfId="7528"/>
    <cellStyle name="差 5 4" xfId="4030"/>
    <cellStyle name="差 5 4 2" xfId="7529"/>
    <cellStyle name="差 5 4 3" xfId="7530"/>
    <cellStyle name="差 5 4 3 2" xfId="7531"/>
    <cellStyle name="差 6" xfId="1499"/>
    <cellStyle name="差 6 2" xfId="1500"/>
    <cellStyle name="差 6 2 2" xfId="4035"/>
    <cellStyle name="差 6 2 2 2" xfId="7532"/>
    <cellStyle name="差 6 2 2 3" xfId="7533"/>
    <cellStyle name="差 6 2 2 3 2" xfId="7534"/>
    <cellStyle name="差 6 3" xfId="4034"/>
    <cellStyle name="差 6 3 2" xfId="7535"/>
    <cellStyle name="差 6 3 3" xfId="7536"/>
    <cellStyle name="差 6 3 3 2" xfId="7537"/>
    <cellStyle name="差 7" xfId="1002"/>
    <cellStyle name="差 7 2" xfId="4036"/>
    <cellStyle name="差 7 2 2" xfId="7538"/>
    <cellStyle name="差 7 2 3" xfId="7539"/>
    <cellStyle name="差 7 2 3 2" xfId="7540"/>
    <cellStyle name="差 8" xfId="2543"/>
    <cellStyle name="差 8 2" xfId="7541"/>
    <cellStyle name="差 8 3" xfId="7542"/>
    <cellStyle name="差 8 3 2" xfId="7543"/>
    <cellStyle name="差_5.中央部门决算（草案)-1" xfId="2550"/>
    <cellStyle name="差_F00DC810C49E00C2E0430A3413167AE0" xfId="2551"/>
    <cellStyle name="差_出版署2010年度中央部门决算草案" xfId="2552"/>
    <cellStyle name="差_全国友协2010年度中央部门决算（草案）" xfId="2553"/>
    <cellStyle name="差_司法部2010年度中央部门决算（草案）报" xfId="2554"/>
    <cellStyle name="常规" xfId="0" builtinId="0"/>
    <cellStyle name="常规 10" xfId="1501"/>
    <cellStyle name="常规 10 2" xfId="1502"/>
    <cellStyle name="常规 10 2 2" xfId="1503"/>
    <cellStyle name="常规 10 2 2 2" xfId="1504"/>
    <cellStyle name="常规 10 2 2 2 2" xfId="4040"/>
    <cellStyle name="常规 10 2 2 3" xfId="4039"/>
    <cellStyle name="常规 10 2 2_2015财政决算公开" xfId="4041"/>
    <cellStyle name="常规 10 2 3" xfId="1506"/>
    <cellStyle name="常规 10 2 3 2" xfId="4042"/>
    <cellStyle name="常规 10 2 4" xfId="4038"/>
    <cellStyle name="常规 10 2_2015财政决算公开" xfId="4043"/>
    <cellStyle name="常规 10 3" xfId="1507"/>
    <cellStyle name="常规 10 3 2" xfId="1508"/>
    <cellStyle name="常规 10 3 2 2" xfId="4045"/>
    <cellStyle name="常规 10 3 3" xfId="4044"/>
    <cellStyle name="常规 10 3_2015财政决算公开" xfId="4046"/>
    <cellStyle name="常规 10 4" xfId="1510"/>
    <cellStyle name="常规 10 4 2" xfId="4047"/>
    <cellStyle name="常规 10 5" xfId="2555"/>
    <cellStyle name="常规 10 6" xfId="4037"/>
    <cellStyle name="常规 10_2015财政决算公开" xfId="4048"/>
    <cellStyle name="常规 100" xfId="7544"/>
    <cellStyle name="常规 11" xfId="1511"/>
    <cellStyle name="常规 11 2" xfId="130"/>
    <cellStyle name="常规 11 2 2" xfId="135"/>
    <cellStyle name="常规 11 2 2 2" xfId="1512"/>
    <cellStyle name="常规 11 2 2 2 2" xfId="4052"/>
    <cellStyle name="常规 11 2 2 3" xfId="4051"/>
    <cellStyle name="常规 11 2 3" xfId="137"/>
    <cellStyle name="常规 11 2 3 2" xfId="4053"/>
    <cellStyle name="常规 11 2 4" xfId="2557"/>
    <cellStyle name="常规 11 2 5" xfId="4050"/>
    <cellStyle name="常规 11 3" xfId="140"/>
    <cellStyle name="常规 11 3 2" xfId="143"/>
    <cellStyle name="常规 11 3 2 2" xfId="4055"/>
    <cellStyle name="常规 11 3 3" xfId="2558"/>
    <cellStyle name="常规 11 3 4" xfId="4054"/>
    <cellStyle name="常规 11 4" xfId="150"/>
    <cellStyle name="常规 11 4 2" xfId="4056"/>
    <cellStyle name="常规 11 5" xfId="2556"/>
    <cellStyle name="常规 11 6" xfId="4049"/>
    <cellStyle name="常规 11_报 预算   行政政法处(1)" xfId="2559"/>
    <cellStyle name="常规 12" xfId="1514"/>
    <cellStyle name="常规 12 2" xfId="194"/>
    <cellStyle name="常规 12 2 2" xfId="197"/>
    <cellStyle name="常规 12 2 2 2" xfId="1515"/>
    <cellStyle name="常规 12 2 2 2 2" xfId="1516"/>
    <cellStyle name="常规 12 2 2 2 2 2" xfId="4061"/>
    <cellStyle name="常规 12 2 2 2 3" xfId="4060"/>
    <cellStyle name="常规 12 2 2 2_2015财政决算公开" xfId="4062"/>
    <cellStyle name="常规 12 2 2 3" xfId="1517"/>
    <cellStyle name="常规 12 2 2 3 2" xfId="4063"/>
    <cellStyle name="常规 12 2 2 4" xfId="4064"/>
    <cellStyle name="常规 12 2 2 5" xfId="4059"/>
    <cellStyle name="常规 12 2 2_2015财政决算公开" xfId="4065"/>
    <cellStyle name="常规 12 2 3" xfId="199"/>
    <cellStyle name="常规 12 2 3 2" xfId="1518"/>
    <cellStyle name="常规 12 2 3 2 2" xfId="4067"/>
    <cellStyle name="常规 12 2 3 3" xfId="4066"/>
    <cellStyle name="常规 12 2 3_2015财政决算公开" xfId="4068"/>
    <cellStyle name="常规 12 2 4" xfId="1519"/>
    <cellStyle name="常规 12 2 4 2" xfId="4069"/>
    <cellStyle name="常规 12 2 5" xfId="4058"/>
    <cellStyle name="常规 12 2 5 2" xfId="7545"/>
    <cellStyle name="常规 12 2 6" xfId="7546"/>
    <cellStyle name="常规 12 2_2015财政决算公开" xfId="4070"/>
    <cellStyle name="常规 12 3" xfId="201"/>
    <cellStyle name="常规 12 3 2" xfId="204"/>
    <cellStyle name="常规 12 3 2 2" xfId="4072"/>
    <cellStyle name="常规 12 3 3" xfId="4071"/>
    <cellStyle name="常规 12 3_2015财政决算公开" xfId="4073"/>
    <cellStyle name="常规 12 4" xfId="214"/>
    <cellStyle name="常规 12 4 2" xfId="1520"/>
    <cellStyle name="常规 12 4 2 2" xfId="4075"/>
    <cellStyle name="常规 12 4 3" xfId="4074"/>
    <cellStyle name="常规 12 4_2015财政决算公开" xfId="4076"/>
    <cellStyle name="常规 12 5" xfId="219"/>
    <cellStyle name="常规 12 5 2" xfId="4077"/>
    <cellStyle name="常规 12 6" xfId="4078"/>
    <cellStyle name="常规 12 7" xfId="4057"/>
    <cellStyle name="常规 12 8" xfId="7547"/>
    <cellStyle name="常规 12 9" xfId="7548"/>
    <cellStyle name="常规 12_2015财政决算公开" xfId="4079"/>
    <cellStyle name="常规 13" xfId="1522"/>
    <cellStyle name="常规 13 2" xfId="284"/>
    <cellStyle name="常规 13 2 2" xfId="286"/>
    <cellStyle name="常规 13 2 2 2" xfId="1524"/>
    <cellStyle name="常规 13 2 2 2 2" xfId="4083"/>
    <cellStyle name="常规 13 2 2 3" xfId="4082"/>
    <cellStyle name="常规 13 2 2_2015财政决算公开" xfId="4084"/>
    <cellStyle name="常规 13 2 3" xfId="288"/>
    <cellStyle name="常规 13 2 3 2" xfId="4085"/>
    <cellStyle name="常规 13 2 4" xfId="4086"/>
    <cellStyle name="常规 13 2 5" xfId="4081"/>
    <cellStyle name="常规 13 2_2015财政决算公开" xfId="4087"/>
    <cellStyle name="常规 13 3" xfId="290"/>
    <cellStyle name="常规 13 3 2" xfId="293"/>
    <cellStyle name="常规 13 3 2 2" xfId="4089"/>
    <cellStyle name="常规 13 3 3" xfId="4088"/>
    <cellStyle name="常规 13 3_2015财政决算公开" xfId="4090"/>
    <cellStyle name="常规 13 4" xfId="299"/>
    <cellStyle name="常规 13 4 2" xfId="4091"/>
    <cellStyle name="常规 13 5" xfId="4080"/>
    <cellStyle name="常规 13_2015财政决算公开" xfId="4092"/>
    <cellStyle name="常规 14" xfId="1525"/>
    <cellStyle name="常规 14 2" xfId="1526"/>
    <cellStyle name="常规 14 2 2" xfId="4094"/>
    <cellStyle name="常规 14 3" xfId="1527"/>
    <cellStyle name="常规 14 3 2" xfId="4095"/>
    <cellStyle name="常规 14 4" xfId="1528"/>
    <cellStyle name="常规 14 4 2" xfId="4096"/>
    <cellStyle name="常规 14 5" xfId="1112"/>
    <cellStyle name="常规 14 6" xfId="1529"/>
    <cellStyle name="常规 14 7" xfId="4093"/>
    <cellStyle name="常规 14_2015财政决算公开" xfId="4097"/>
    <cellStyle name="常规 15" xfId="1075"/>
    <cellStyle name="常规 15 2" xfId="1078"/>
    <cellStyle name="常规 15 2 2" xfId="4099"/>
    <cellStyle name="常规 15 3" xfId="1081"/>
    <cellStyle name="常规 15 3 2" xfId="4100"/>
    <cellStyle name="常规 15 4" xfId="1530"/>
    <cellStyle name="常规 15 4 2" xfId="4101"/>
    <cellStyle name="常规 15 5" xfId="4098"/>
    <cellStyle name="常规 15_2015财政决算公开" xfId="4102"/>
    <cellStyle name="常规 16" xfId="1085"/>
    <cellStyle name="常规 16 2" xfId="1089"/>
    <cellStyle name="常规 16 2 2" xfId="4104"/>
    <cellStyle name="常规 16 3" xfId="4103"/>
    <cellStyle name="常规 16_2015财政决算公开" xfId="4105"/>
    <cellStyle name="常规 17" xfId="1094"/>
    <cellStyle name="常规 17 2" xfId="1533"/>
    <cellStyle name="常规 17 2 2" xfId="4107"/>
    <cellStyle name="常规 17 3" xfId="4106"/>
    <cellStyle name="常规 17_2015财政决算公开" xfId="4108"/>
    <cellStyle name="常规 18" xfId="1536"/>
    <cellStyle name="常规 18 2" xfId="1538"/>
    <cellStyle name="常规 18 2 2" xfId="4110"/>
    <cellStyle name="常规 18 3" xfId="4109"/>
    <cellStyle name="常规 18_2015财政决算公开" xfId="4111"/>
    <cellStyle name="常规 19" xfId="1540"/>
    <cellStyle name="常规 19 2" xfId="1542"/>
    <cellStyle name="常规 19 2 2" xfId="4113"/>
    <cellStyle name="常规 19 3" xfId="4112"/>
    <cellStyle name="常规 19_2015财政决算公开" xfId="4114"/>
    <cellStyle name="常规 2" xfId="1543"/>
    <cellStyle name="常规 2 10" xfId="4973"/>
    <cellStyle name="常规 2 11" xfId="4977"/>
    <cellStyle name="常规 2 2" xfId="1192"/>
    <cellStyle name="常规 2 2 10" xfId="1545"/>
    <cellStyle name="常规 2 2 11" xfId="2565"/>
    <cellStyle name="常规 2 2 2" xfId="1547"/>
    <cellStyle name="常规 2 2 2 10" xfId="2566"/>
    <cellStyle name="常规 2 2 2 2" xfId="1548"/>
    <cellStyle name="常规 2 2 2 2 2" xfId="1549"/>
    <cellStyle name="常规 2 2 2 2 2 2" xfId="1550"/>
    <cellStyle name="常规 2 2 2 2 2 2 2" xfId="4115"/>
    <cellStyle name="常规 2 2 2 2 2 3" xfId="1551"/>
    <cellStyle name="常规 2 2 2 2 2 3 2" xfId="4116"/>
    <cellStyle name="常规 2 2 2 2 2 4" xfId="1552"/>
    <cellStyle name="常规 2 2 2 2 2 4 2" xfId="4117"/>
    <cellStyle name="常规 2 2 2 2 2 5" xfId="2568"/>
    <cellStyle name="常规 2 2 2 2 2_2015财政决算公开" xfId="4118"/>
    <cellStyle name="常规 2 2 2 2 3" xfId="1553"/>
    <cellStyle name="常规 2 2 2 2 3 2" xfId="1555"/>
    <cellStyle name="常规 2 2 2 2 3 2 2" xfId="4119"/>
    <cellStyle name="常规 2 2 2 2 3 3" xfId="1556"/>
    <cellStyle name="常规 2 2 2 2 3 3 2" xfId="4120"/>
    <cellStyle name="常规 2 2 2 2 3 4" xfId="2569"/>
    <cellStyle name="常规 2 2 2 2 3_2015财政决算公开" xfId="4121"/>
    <cellStyle name="常规 2 2 2 2 4" xfId="1557"/>
    <cellStyle name="常规 2 2 2 2 4 2" xfId="1558"/>
    <cellStyle name="常规 2 2 2 2 4 2 2" xfId="4123"/>
    <cellStyle name="常规 2 2 2 2 4 3" xfId="1559"/>
    <cellStyle name="常规 2 2 2 2 4 3 2" xfId="4124"/>
    <cellStyle name="常规 2 2 2 2 4 4" xfId="1560"/>
    <cellStyle name="常规 2 2 2 2 4 4 2" xfId="4125"/>
    <cellStyle name="常规 2 2 2 2 4 5" xfId="4122"/>
    <cellStyle name="常规 2 2 2 2 4_2015财政决算公开" xfId="4126"/>
    <cellStyle name="常规 2 2 2 2 5" xfId="26"/>
    <cellStyle name="常规 2 2 2 2 5 2" xfId="4127"/>
    <cellStyle name="常规 2 2 2 2 6" xfId="1561"/>
    <cellStyle name="常规 2 2 2 2 6 2" xfId="4128"/>
    <cellStyle name="常规 2 2 2 2 7" xfId="1562"/>
    <cellStyle name="常规 2 2 2 2 8" xfId="2567"/>
    <cellStyle name="常规 2 2 2 2_2015财政决算公开" xfId="4129"/>
    <cellStyle name="常规 2 2 2 3" xfId="1563"/>
    <cellStyle name="常规 2 2 2 3 2" xfId="1564"/>
    <cellStyle name="常规 2 2 2 3 2 2" xfId="4130"/>
    <cellStyle name="常规 2 2 2 3 3" xfId="1565"/>
    <cellStyle name="常规 2 2 2 3 3 2" xfId="4131"/>
    <cellStyle name="常规 2 2 2 3 4" xfId="1566"/>
    <cellStyle name="常规 2 2 2 3 4 2" xfId="4132"/>
    <cellStyle name="常规 2 2 2 3 5" xfId="2570"/>
    <cellStyle name="常规 2 2 2 3_2015财政决算公开" xfId="4133"/>
    <cellStyle name="常规 2 2 2 4" xfId="817"/>
    <cellStyle name="常规 2 2 2 4 2" xfId="820"/>
    <cellStyle name="常规 2 2 2 4 2 2" xfId="4134"/>
    <cellStyle name="常规 2 2 2 4 3" xfId="1568"/>
    <cellStyle name="常规 2 2 2 4 3 2" xfId="4135"/>
    <cellStyle name="常规 2 2 2 4 4" xfId="1570"/>
    <cellStyle name="常规 2 2 2 4 4 2" xfId="4136"/>
    <cellStyle name="常规 2 2 2 4 5" xfId="2571"/>
    <cellStyle name="常规 2 2 2 4_2015财政决算公开" xfId="4137"/>
    <cellStyle name="常规 2 2 2 5" xfId="823"/>
    <cellStyle name="常规 2 2 2 5 2" xfId="1572"/>
    <cellStyle name="常规 2 2 2 5 2 2" xfId="4139"/>
    <cellStyle name="常规 2 2 2 5 3" xfId="1574"/>
    <cellStyle name="常规 2 2 2 5 3 2" xfId="4140"/>
    <cellStyle name="常规 2 2 2 5 4" xfId="4138"/>
    <cellStyle name="常规 2 2 2 5_2015财政决算公开" xfId="4141"/>
    <cellStyle name="常规 2 2 2 6" xfId="1577"/>
    <cellStyle name="常规 2 2 2 6 2" xfId="1579"/>
    <cellStyle name="常规 2 2 2 6 2 2" xfId="4143"/>
    <cellStyle name="常规 2 2 2 6 3" xfId="1581"/>
    <cellStyle name="常规 2 2 2 6 3 2" xfId="4144"/>
    <cellStyle name="常规 2 2 2 6 4" xfId="1583"/>
    <cellStyle name="常规 2 2 2 6 4 2" xfId="4145"/>
    <cellStyle name="常规 2 2 2 6 5" xfId="4142"/>
    <cellStyle name="常规 2 2 2 6_2015财政决算公开" xfId="4146"/>
    <cellStyle name="常规 2 2 2 7" xfId="1586"/>
    <cellStyle name="常规 2 2 2 7 2" xfId="4147"/>
    <cellStyle name="常规 2 2 2 8" xfId="1178"/>
    <cellStyle name="常规 2 2 2 8 2" xfId="4148"/>
    <cellStyle name="常规 2 2 2 9" xfId="1183"/>
    <cellStyle name="常规 2 2 2_2015财政决算公开" xfId="4149"/>
    <cellStyle name="常规 2 2 3" xfId="1587"/>
    <cellStyle name="常规 2 2 3 2" xfId="1588"/>
    <cellStyle name="常规 2 2 3 2 2" xfId="1590"/>
    <cellStyle name="常规 2 2 3 2 2 2" xfId="2574"/>
    <cellStyle name="常规 2 2 3 2 3" xfId="1592"/>
    <cellStyle name="常规 2 2 3 2 3 2" xfId="2575"/>
    <cellStyle name="常规 2 2 3 2 4" xfId="1594"/>
    <cellStyle name="常规 2 2 3 2 4 2" xfId="4150"/>
    <cellStyle name="常规 2 2 3 2 5" xfId="2573"/>
    <cellStyle name="常规 2 2 3 3" xfId="1595"/>
    <cellStyle name="常规 2 2 3 3 2" xfId="1597"/>
    <cellStyle name="常规 2 2 3 3 2 2" xfId="4151"/>
    <cellStyle name="常规 2 2 3 3 3" xfId="1598"/>
    <cellStyle name="常规 2 2 3 3 3 2" xfId="4152"/>
    <cellStyle name="常规 2 2 3 3 4" xfId="2576"/>
    <cellStyle name="常规 2 2 3 4" xfId="826"/>
    <cellStyle name="常规 2 2 3 4 2" xfId="1599"/>
    <cellStyle name="常规 2 2 3 4 2 2" xfId="4153"/>
    <cellStyle name="常规 2 2 3 4 3" xfId="1600"/>
    <cellStyle name="常规 2 2 3 4 3 2" xfId="4154"/>
    <cellStyle name="常规 2 2 3 4 4" xfId="735"/>
    <cellStyle name="常规 2 2 3 4 4 2" xfId="4155"/>
    <cellStyle name="常规 2 2 3 4 5" xfId="2577"/>
    <cellStyle name="常规 2 2 3 5" xfId="1601"/>
    <cellStyle name="常规 2 2 3 5 2" xfId="4156"/>
    <cellStyle name="常规 2 2 3 6" xfId="1602"/>
    <cellStyle name="常规 2 2 3 6 2" xfId="4157"/>
    <cellStyle name="常规 2 2 3 7" xfId="1603"/>
    <cellStyle name="常规 2 2 3 8" xfId="2572"/>
    <cellStyle name="常规 2 2 4" xfId="1604"/>
    <cellStyle name="常规 2 2 4 2" xfId="1605"/>
    <cellStyle name="常规 2 2 4 2 2" xfId="2579"/>
    <cellStyle name="常规 2 2 4 3" xfId="1606"/>
    <cellStyle name="常规 2 2 4 3 2" xfId="2580"/>
    <cellStyle name="常规 2 2 4 4" xfId="1607"/>
    <cellStyle name="常规 2 2 4 4 2" xfId="4158"/>
    <cellStyle name="常规 2 2 4 5" xfId="2578"/>
    <cellStyle name="常规 2 2 5" xfId="1608"/>
    <cellStyle name="常规 2 2 5 2" xfId="1609"/>
    <cellStyle name="常规 2 2 5 2 2" xfId="4159"/>
    <cellStyle name="常规 2 2 5 3" xfId="1610"/>
    <cellStyle name="常规 2 2 5 3 2" xfId="4160"/>
    <cellStyle name="常规 2 2 5 4" xfId="1611"/>
    <cellStyle name="常规 2 2 5 4 2" xfId="4161"/>
    <cellStyle name="常规 2 2 5 5" xfId="2581"/>
    <cellStyle name="常规 2 2 6" xfId="1234"/>
    <cellStyle name="常规 2 2 6 2" xfId="1236"/>
    <cellStyle name="常规 2 2 6 2 2" xfId="4163"/>
    <cellStyle name="常规 2 2 6 3" xfId="1239"/>
    <cellStyle name="常规 2 2 6 3 2" xfId="4164"/>
    <cellStyle name="常规 2 2 6 4" xfId="4162"/>
    <cellStyle name="常规 2 2 7" xfId="1241"/>
    <cellStyle name="常规 2 2 7 2" xfId="1244"/>
    <cellStyle name="常规 2 2 7 2 2" xfId="4166"/>
    <cellStyle name="常规 2 2 7 3" xfId="1613"/>
    <cellStyle name="常规 2 2 7 3 2" xfId="4167"/>
    <cellStyle name="常规 2 2 7 4" xfId="591"/>
    <cellStyle name="常规 2 2 7 4 2" xfId="4168"/>
    <cellStyle name="常规 2 2 7 5" xfId="4165"/>
    <cellStyle name="常规 2 2 8" xfId="1246"/>
    <cellStyle name="常规 2 2 8 2" xfId="4169"/>
    <cellStyle name="常规 2 2 9" xfId="1614"/>
    <cellStyle name="常规 2 2 9 2" xfId="4170"/>
    <cellStyle name="常规 2 2_2015财政决算公开" xfId="4171"/>
    <cellStyle name="常规 2 3" xfId="1615"/>
    <cellStyle name="常规 2 3 10" xfId="2582"/>
    <cellStyle name="常规 2 3 11" xfId="4172"/>
    <cellStyle name="常规 2 3 2" xfId="1616"/>
    <cellStyle name="常规 2 3 2 2" xfId="1617"/>
    <cellStyle name="常规 2 3 2 2 2" xfId="1618"/>
    <cellStyle name="常规 2 3 2 2 2 2" xfId="4175"/>
    <cellStyle name="常规 2 3 2 2 3" xfId="1619"/>
    <cellStyle name="常规 2 3 2 2 3 2" xfId="4176"/>
    <cellStyle name="常规 2 3 2 2 4" xfId="1621"/>
    <cellStyle name="常规 2 3 2 2 4 2" xfId="4177"/>
    <cellStyle name="常规 2 3 2 2 5" xfId="1622"/>
    <cellStyle name="常规 2 3 2 2 5 2" xfId="4178"/>
    <cellStyle name="常规 2 3 2 2 6" xfId="2584"/>
    <cellStyle name="常规 2 3 2 2 7" xfId="4174"/>
    <cellStyle name="常规 2 3 2 3" xfId="1623"/>
    <cellStyle name="常规 2 3 2 3 2" xfId="1624"/>
    <cellStyle name="常规 2 3 2 3 2 2" xfId="4180"/>
    <cellStyle name="常规 2 3 2 3 3" xfId="1625"/>
    <cellStyle name="常规 2 3 2 3 3 2" xfId="4181"/>
    <cellStyle name="常规 2 3 2 3 4" xfId="2585"/>
    <cellStyle name="常规 2 3 2 3 5" xfId="4179"/>
    <cellStyle name="常规 2 3 2 4" xfId="836"/>
    <cellStyle name="常规 2 3 2 4 2" xfId="1626"/>
    <cellStyle name="常规 2 3 2 4 2 2" xfId="4183"/>
    <cellStyle name="常规 2 3 2 4 3" xfId="1627"/>
    <cellStyle name="常规 2 3 2 4 3 2" xfId="4184"/>
    <cellStyle name="常规 2 3 2 4 4" xfId="1628"/>
    <cellStyle name="常规 2 3 2 4 4 2" xfId="4185"/>
    <cellStyle name="常规 2 3 2 4 5" xfId="4182"/>
    <cellStyle name="常规 2 3 2 5" xfId="1629"/>
    <cellStyle name="常规 2 3 2 5 2" xfId="4186"/>
    <cellStyle name="常规 2 3 2 6" xfId="1630"/>
    <cellStyle name="常规 2 3 2 6 2" xfId="4187"/>
    <cellStyle name="常规 2 3 2 7" xfId="1631"/>
    <cellStyle name="常规 2 3 2 7 2" xfId="4188"/>
    <cellStyle name="常规 2 3 2 8" xfId="2583"/>
    <cellStyle name="常规 2 3 2 9" xfId="4173"/>
    <cellStyle name="常规 2 3 3" xfId="1632"/>
    <cellStyle name="常规 2 3 3 2" xfId="1633"/>
    <cellStyle name="常规 2 3 3 2 2" xfId="4190"/>
    <cellStyle name="常规 2 3 3 3" xfId="1634"/>
    <cellStyle name="常规 2 3 3 3 2" xfId="4191"/>
    <cellStyle name="常规 2 3 3 4" xfId="1635"/>
    <cellStyle name="常规 2 3 3 4 2" xfId="4192"/>
    <cellStyle name="常规 2 3 3 5" xfId="1636"/>
    <cellStyle name="常规 2 3 3 5 2" xfId="4193"/>
    <cellStyle name="常规 2 3 3 6" xfId="2586"/>
    <cellStyle name="常规 2 3 3 7" xfId="4189"/>
    <cellStyle name="常规 2 3 4" xfId="1637"/>
    <cellStyle name="常规 2 3 4 2" xfId="1638"/>
    <cellStyle name="常规 2 3 4 2 2" xfId="4195"/>
    <cellStyle name="常规 2 3 4 3" xfId="1639"/>
    <cellStyle name="常规 2 3 4 3 2" xfId="4196"/>
    <cellStyle name="常规 2 3 4 4" xfId="1640"/>
    <cellStyle name="常规 2 3 4 4 2" xfId="4197"/>
    <cellStyle name="常规 2 3 4 5" xfId="2587"/>
    <cellStyle name="常规 2 3 4 6" xfId="4194"/>
    <cellStyle name="常规 2 3 5" xfId="1442"/>
    <cellStyle name="常规 2 3 5 2" xfId="1444"/>
    <cellStyle name="常规 2 3 5 2 2" xfId="4199"/>
    <cellStyle name="常规 2 3 5 3" xfId="1641"/>
    <cellStyle name="常规 2 3 5 3 2" xfId="4200"/>
    <cellStyle name="常规 2 3 5 4" xfId="4198"/>
    <cellStyle name="常规 2 3 6" xfId="1251"/>
    <cellStyle name="常规 2 3 6 2" xfId="1254"/>
    <cellStyle name="常规 2 3 6 2 2" xfId="4202"/>
    <cellStyle name="常规 2 3 6 3" xfId="1257"/>
    <cellStyle name="常规 2 3 6 3 2" xfId="4203"/>
    <cellStyle name="常规 2 3 6 4" xfId="546"/>
    <cellStyle name="常规 2 3 6 4 2" xfId="4204"/>
    <cellStyle name="常规 2 3 6 5" xfId="4201"/>
    <cellStyle name="常规 2 3 7" xfId="1259"/>
    <cellStyle name="常规 2 3 7 2" xfId="4205"/>
    <cellStyle name="常规 2 3 8" xfId="1262"/>
    <cellStyle name="常规 2 3 8 2" xfId="4206"/>
    <cellStyle name="常规 2 3 9" xfId="1264"/>
    <cellStyle name="常规 2 3 9 2" xfId="4207"/>
    <cellStyle name="常规 2 4" xfId="1642"/>
    <cellStyle name="常规 2 4 10" xfId="2588"/>
    <cellStyle name="常规 2 4 10 2" xfId="4209"/>
    <cellStyle name="常规 2 4 11" xfId="4208"/>
    <cellStyle name="常规 2 4 2" xfId="1643"/>
    <cellStyle name="常规 2 4 2 2" xfId="1644"/>
    <cellStyle name="常规 2 4 2 2 2" xfId="1645"/>
    <cellStyle name="常规 2 4 2 2 2 2" xfId="4212"/>
    <cellStyle name="常规 2 4 2 2 3" xfId="1646"/>
    <cellStyle name="常规 2 4 2 2 3 2" xfId="4213"/>
    <cellStyle name="常规 2 4 2 2 4" xfId="1647"/>
    <cellStyle name="常规 2 4 2 2 4 2" xfId="4214"/>
    <cellStyle name="常规 2 4 2 2 5" xfId="1648"/>
    <cellStyle name="常规 2 4 2 2 5 2" xfId="4215"/>
    <cellStyle name="常规 2 4 2 2 6" xfId="2590"/>
    <cellStyle name="常规 2 4 2 2 7" xfId="4211"/>
    <cellStyle name="常规 2 4 2 3" xfId="1650"/>
    <cellStyle name="常规 2 4 2 3 2" xfId="1652"/>
    <cellStyle name="常规 2 4 2 3 2 2" xfId="4217"/>
    <cellStyle name="常规 2 4 2 3 3" xfId="1653"/>
    <cellStyle name="常规 2 4 2 3 3 2" xfId="4218"/>
    <cellStyle name="常规 2 4 2 3 4" xfId="2591"/>
    <cellStyle name="常规 2 4 2 3 5" xfId="4216"/>
    <cellStyle name="常规 2 4 2 4" xfId="1655"/>
    <cellStyle name="常规 2 4 2 4 2" xfId="984"/>
    <cellStyle name="常规 2 4 2 4 2 2" xfId="4220"/>
    <cellStyle name="常规 2 4 2 4 3" xfId="989"/>
    <cellStyle name="常规 2 4 2 4 3 2" xfId="4221"/>
    <cellStyle name="常规 2 4 2 4 4" xfId="994"/>
    <cellStyle name="常规 2 4 2 4 4 2" xfId="4222"/>
    <cellStyle name="常规 2 4 2 4 5" xfId="4219"/>
    <cellStyle name="常规 2 4 2 5" xfId="1656"/>
    <cellStyle name="常规 2 4 2 5 2" xfId="4223"/>
    <cellStyle name="常规 2 4 2 6" xfId="1657"/>
    <cellStyle name="常规 2 4 2 6 2" xfId="4224"/>
    <cellStyle name="常规 2 4 2 7" xfId="1658"/>
    <cellStyle name="常规 2 4 2 7 2" xfId="4225"/>
    <cellStyle name="常规 2 4 2 8" xfId="2589"/>
    <cellStyle name="常规 2 4 2 9" xfId="4210"/>
    <cellStyle name="常规 2 4 3" xfId="737"/>
    <cellStyle name="常规 2 4 3 2" xfId="1659"/>
    <cellStyle name="常规 2 4 3 2 2" xfId="4227"/>
    <cellStyle name="常规 2 4 3 3" xfId="1661"/>
    <cellStyle name="常规 2 4 3 3 2" xfId="4228"/>
    <cellStyle name="常规 2 4 3 4" xfId="1663"/>
    <cellStyle name="常规 2 4 3 4 2" xfId="4229"/>
    <cellStyle name="常规 2 4 3 5" xfId="1546"/>
    <cellStyle name="常规 2 4 3 5 2" xfId="4230"/>
    <cellStyle name="常规 2 4 3 6" xfId="2592"/>
    <cellStyle name="常规 2 4 3 7" xfId="4226"/>
    <cellStyle name="常规 2 4 4" xfId="1664"/>
    <cellStyle name="常规 2 4 4 2" xfId="1665"/>
    <cellStyle name="常规 2 4 4 2 2" xfId="4232"/>
    <cellStyle name="常规 2 4 4 3" xfId="1667"/>
    <cellStyle name="常规 2 4 4 3 2" xfId="4233"/>
    <cellStyle name="常规 2 4 4 4" xfId="1668"/>
    <cellStyle name="常规 2 4 4 4 2" xfId="4234"/>
    <cellStyle name="常规 2 4 4 5" xfId="2593"/>
    <cellStyle name="常规 2 4 4 6" xfId="4231"/>
    <cellStyle name="常规 2 4 5" xfId="1447"/>
    <cellStyle name="常规 2 4 5 2" xfId="1669"/>
    <cellStyle name="常规 2 4 5 2 2" xfId="4236"/>
    <cellStyle name="常规 2 4 5 3" xfId="1670"/>
    <cellStyle name="常规 2 4 5 3 2" xfId="4237"/>
    <cellStyle name="常规 2 4 5 4" xfId="4235"/>
    <cellStyle name="常规 2 4 6" xfId="1268"/>
    <cellStyle name="常规 2 4 6 2" xfId="1270"/>
    <cellStyle name="常规 2 4 6 2 2" xfId="4239"/>
    <cellStyle name="常规 2 4 6 3" xfId="1274"/>
    <cellStyle name="常规 2 4 6 3 2" xfId="4240"/>
    <cellStyle name="常规 2 4 6 4" xfId="609"/>
    <cellStyle name="常规 2 4 6 4 2" xfId="4241"/>
    <cellStyle name="常规 2 4 6 5" xfId="4238"/>
    <cellStyle name="常规 2 4 7" xfId="1276"/>
    <cellStyle name="常规 2 4 7 2" xfId="4242"/>
    <cellStyle name="常规 2 4 8" xfId="1279"/>
    <cellStyle name="常规 2 4 8 2" xfId="4243"/>
    <cellStyle name="常规 2 4 9" xfId="1671"/>
    <cellStyle name="常规 2 4 9 2" xfId="4244"/>
    <cellStyle name="常规 2 5" xfId="1672"/>
    <cellStyle name="常规 2 5 2" xfId="1673"/>
    <cellStyle name="常规 2 5 2 2" xfId="1676"/>
    <cellStyle name="常规 2 5 2 2 2" xfId="2596"/>
    <cellStyle name="常规 2 5 2 2 3" xfId="4247"/>
    <cellStyle name="常规 2 5 2 3" xfId="2597"/>
    <cellStyle name="常规 2 5 2 4" xfId="2595"/>
    <cellStyle name="常规 2 5 2 5" xfId="4246"/>
    <cellStyle name="常规 2 5 3" xfId="1677"/>
    <cellStyle name="常规 2 5 3 2" xfId="2598"/>
    <cellStyle name="常规 2 5 3 3" xfId="4248"/>
    <cellStyle name="常规 2 5 4" xfId="1679"/>
    <cellStyle name="常规 2 5 4 2" xfId="2599"/>
    <cellStyle name="常规 2 5 4 3" xfId="4249"/>
    <cellStyle name="常规 2 5 5" xfId="2594"/>
    <cellStyle name="常规 2 5 6" xfId="4245"/>
    <cellStyle name="常规 2 6" xfId="1680"/>
    <cellStyle name="常规 2 6 2" xfId="1681"/>
    <cellStyle name="常规 2 6 2 2" xfId="2601"/>
    <cellStyle name="常规 2 6 3" xfId="2602"/>
    <cellStyle name="常规 2 6 4" xfId="2600"/>
    <cellStyle name="常规 2 7" xfId="1682"/>
    <cellStyle name="常规 2 7 2" xfId="2603"/>
    <cellStyle name="常规 2 7 3" xfId="4250"/>
    <cellStyle name="常规 2 8" xfId="1685"/>
    <cellStyle name="常规 2 8 2" xfId="2604"/>
    <cellStyle name="常规 2 9" xfId="2564"/>
    <cellStyle name="常规 2_2012-2013年“三公”经费预决算情况汇总表样" xfId="2605"/>
    <cellStyle name="常规 20" xfId="1074"/>
    <cellStyle name="常规 20 2" xfId="1077"/>
    <cellStyle name="常规 20 2 2" xfId="4252"/>
    <cellStyle name="常规 20 3" xfId="4251"/>
    <cellStyle name="常规 21" xfId="1084"/>
    <cellStyle name="常规 21 2" xfId="1088"/>
    <cellStyle name="常规 21 2 2" xfId="4254"/>
    <cellStyle name="常规 21 3" xfId="4253"/>
    <cellStyle name="常规 22" xfId="1093"/>
    <cellStyle name="常规 22 2" xfId="1532"/>
    <cellStyle name="常规 22 2 2" xfId="4256"/>
    <cellStyle name="常规 22 3" xfId="4255"/>
    <cellStyle name="常规 23" xfId="1535"/>
    <cellStyle name="常规 23 2" xfId="1537"/>
    <cellStyle name="常规 23 2 2" xfId="4258"/>
    <cellStyle name="常规 23 3" xfId="4257"/>
    <cellStyle name="常规 24" xfId="1539"/>
    <cellStyle name="常规 24 2" xfId="1541"/>
    <cellStyle name="常规 24 2 2" xfId="4260"/>
    <cellStyle name="常规 24 3" xfId="4259"/>
    <cellStyle name="常规 25" xfId="785"/>
    <cellStyle name="常规 25 2" xfId="788"/>
    <cellStyle name="常规 25 2 2" xfId="4262"/>
    <cellStyle name="常规 25 3" xfId="4261"/>
    <cellStyle name="常规 26" xfId="794"/>
    <cellStyle name="常规 26 2" xfId="767"/>
    <cellStyle name="常规 26 2 2" xfId="4264"/>
    <cellStyle name="常规 26 3" xfId="4263"/>
    <cellStyle name="常规 27" xfId="797"/>
    <cellStyle name="常规 27 2" xfId="1686"/>
    <cellStyle name="常规 27 2 2" xfId="4266"/>
    <cellStyle name="常规 27 3" xfId="4265"/>
    <cellStyle name="常规 28" xfId="1688"/>
    <cellStyle name="常规 28 2" xfId="1201"/>
    <cellStyle name="常规 28 2 2" xfId="4268"/>
    <cellStyle name="常规 28 3" xfId="4267"/>
    <cellStyle name="常规 29" xfId="1689"/>
    <cellStyle name="常规 29 2" xfId="1690"/>
    <cellStyle name="常规 29 2 2" xfId="4270"/>
    <cellStyle name="常规 29 3" xfId="4269"/>
    <cellStyle name="常规 3" xfId="1693"/>
    <cellStyle name="常规 3 10" xfId="1694"/>
    <cellStyle name="常规 3 11" xfId="2609"/>
    <cellStyle name="常规 3 2" xfId="1696"/>
    <cellStyle name="常规 3 2 2" xfId="1697"/>
    <cellStyle name="常规 3 2 2 2" xfId="1698"/>
    <cellStyle name="常规 3 2 2 2 2" xfId="4271"/>
    <cellStyle name="常规 3 2 2 3" xfId="1700"/>
    <cellStyle name="常规 3 2 2 3 2" xfId="4272"/>
    <cellStyle name="常规 3 2 2 4" xfId="862"/>
    <cellStyle name="常规 3 2 2 4 2" xfId="4273"/>
    <cellStyle name="常规 3 2 2 5" xfId="1701"/>
    <cellStyle name="常规 3 2 2 6" xfId="2611"/>
    <cellStyle name="常规 3 2 2 6 2" xfId="4274"/>
    <cellStyle name="常规 3 2 3" xfId="1702"/>
    <cellStyle name="常规 3 2 3 2" xfId="1703"/>
    <cellStyle name="常规 3 2 3 2 2" xfId="4276"/>
    <cellStyle name="常规 3 2 3 3" xfId="1705"/>
    <cellStyle name="常规 3 2 3 3 2" xfId="4277"/>
    <cellStyle name="常规 3 2 3 4" xfId="2612"/>
    <cellStyle name="常规 3 2 3 5" xfId="4275"/>
    <cellStyle name="常规 3 2 4" xfId="1706"/>
    <cellStyle name="常规 3 2 4 2" xfId="1707"/>
    <cellStyle name="常规 3 2 4 2 2" xfId="4279"/>
    <cellStyle name="常规 3 2 4 3" xfId="1709"/>
    <cellStyle name="常规 3 2 4 3 2" xfId="4280"/>
    <cellStyle name="常规 3 2 4 4" xfId="1710"/>
    <cellStyle name="常规 3 2 4 4 2" xfId="4281"/>
    <cellStyle name="常规 3 2 4 5" xfId="4278"/>
    <cellStyle name="常规 3 2 5" xfId="585"/>
    <cellStyle name="常规 3 2 5 2" xfId="4282"/>
    <cellStyle name="常规 3 2 6" xfId="599"/>
    <cellStyle name="常规 3 2 6 2" xfId="4283"/>
    <cellStyle name="常规 3 2 7" xfId="606"/>
    <cellStyle name="常规 3 2 8" xfId="2610"/>
    <cellStyle name="常规 3 2 8 2" xfId="4284"/>
    <cellStyle name="常规 3 3" xfId="1711"/>
    <cellStyle name="常规 3 3 2" xfId="1712"/>
    <cellStyle name="常规 3 3 3" xfId="1713"/>
    <cellStyle name="常规 3 3 4" xfId="1715"/>
    <cellStyle name="常规 3 3 5" xfId="2613"/>
    <cellStyle name="常规 3 4" xfId="1209"/>
    <cellStyle name="常规 3 4 2" xfId="1716"/>
    <cellStyle name="常规 3 4 2 2" xfId="4286"/>
    <cellStyle name="常规 3 4 3" xfId="1717"/>
    <cellStyle name="常规 3 4 3 2" xfId="4287"/>
    <cellStyle name="常规 3 4 4" xfId="2614"/>
    <cellStyle name="常规 3 4 5" xfId="4285"/>
    <cellStyle name="常规 3 5" xfId="1718"/>
    <cellStyle name="常规 3 5 2" xfId="1719"/>
    <cellStyle name="常规 3 5 2 2" xfId="4289"/>
    <cellStyle name="常规 3 5 3" xfId="1720"/>
    <cellStyle name="常规 3 5 3 2" xfId="4290"/>
    <cellStyle name="常规 3 5 4" xfId="2615"/>
    <cellStyle name="常规 3 5 5" xfId="4288"/>
    <cellStyle name="常规 3 6" xfId="1189"/>
    <cellStyle name="常规 3 6 2" xfId="1721"/>
    <cellStyle name="常规 3 6 2 2" xfId="4292"/>
    <cellStyle name="常规 3 6 3" xfId="1722"/>
    <cellStyle name="常规 3 6 3 2" xfId="4293"/>
    <cellStyle name="常规 3 6 4" xfId="2616"/>
    <cellStyle name="常规 3 6 5" xfId="4291"/>
    <cellStyle name="常规 3 7" xfId="1723"/>
    <cellStyle name="常规 3 7 2" xfId="1724"/>
    <cellStyle name="常规 3 7 2 2" xfId="4295"/>
    <cellStyle name="常规 3 7 3" xfId="1725"/>
    <cellStyle name="常规 3 7 3 2" xfId="4296"/>
    <cellStyle name="常规 3 7 4" xfId="4294"/>
    <cellStyle name="常规 3 8" xfId="1727"/>
    <cellStyle name="常规 3 8 2" xfId="4297"/>
    <cellStyle name="常规 3 9" xfId="1728"/>
    <cellStyle name="常规 3 9 2" xfId="4298"/>
    <cellStyle name="常规 3_收入总表2" xfId="2617"/>
    <cellStyle name="常规 30" xfId="784"/>
    <cellStyle name="常规 30 2" xfId="787"/>
    <cellStyle name="常规 30 3" xfId="2618"/>
    <cellStyle name="常规 31" xfId="793"/>
    <cellStyle name="常规 31 2" xfId="2619"/>
    <cellStyle name="常规 32" xfId="796"/>
    <cellStyle name="常规 32 2" xfId="2620"/>
    <cellStyle name="常规 33" xfId="1687"/>
    <cellStyle name="常规 33 2" xfId="2621"/>
    <cellStyle name="常规 33 3" xfId="4982"/>
    <cellStyle name="常规 33 3 2" xfId="7549"/>
    <cellStyle name="常规 33 3 3" xfId="7550"/>
    <cellStyle name="常规 33 3 3 2" xfId="7551"/>
    <cellStyle name="常规 33 3 3 2 2" xfId="7552"/>
    <cellStyle name="常规 33 3 4" xfId="7553"/>
    <cellStyle name="常规 33 3 4 2" xfId="7554"/>
    <cellStyle name="常规 34" xfId="2622"/>
    <cellStyle name="常规 35" xfId="2623"/>
    <cellStyle name="常规 36" xfId="2624"/>
    <cellStyle name="常规 37" xfId="2625"/>
    <cellStyle name="常规 38" xfId="2626"/>
    <cellStyle name="常规 39" xfId="2627"/>
    <cellStyle name="常规 4" xfId="1730"/>
    <cellStyle name="常规 4 2" xfId="1731"/>
    <cellStyle name="常规 4 2 10" xfId="2629"/>
    <cellStyle name="常规 4 2 11" xfId="4299"/>
    <cellStyle name="常规 4 2 2" xfId="1733"/>
    <cellStyle name="常规 4 2 2 2" xfId="1735"/>
    <cellStyle name="常规 4 2 2 2 2" xfId="1737"/>
    <cellStyle name="常规 4 2 2 2 2 2" xfId="4302"/>
    <cellStyle name="常规 4 2 2 2 3" xfId="1738"/>
    <cellStyle name="常规 4 2 2 2 3 2" xfId="4303"/>
    <cellStyle name="常规 4 2 2 2 4" xfId="1739"/>
    <cellStyle name="常规 4 2 2 2 4 2" xfId="4304"/>
    <cellStyle name="常规 4 2 2 2 5" xfId="1740"/>
    <cellStyle name="常规 4 2 2 2 5 2" xfId="4305"/>
    <cellStyle name="常规 4 2 2 2 6" xfId="4301"/>
    <cellStyle name="常规 4 2 2 3" xfId="1743"/>
    <cellStyle name="常规 4 2 2 3 2" xfId="1746"/>
    <cellStyle name="常规 4 2 2 3 2 2" xfId="4307"/>
    <cellStyle name="常规 4 2 2 3 3" xfId="1748"/>
    <cellStyle name="常规 4 2 2 3 3 2" xfId="4308"/>
    <cellStyle name="常规 4 2 2 3 4" xfId="4306"/>
    <cellStyle name="常规 4 2 2 4" xfId="910"/>
    <cellStyle name="常规 4 2 2 4 2" xfId="912"/>
    <cellStyle name="常规 4 2 2 4 2 2" xfId="4310"/>
    <cellStyle name="常规 4 2 2 4 3" xfId="1749"/>
    <cellStyle name="常规 4 2 2 4 3 2" xfId="4311"/>
    <cellStyle name="常规 4 2 2 4 4" xfId="1750"/>
    <cellStyle name="常规 4 2 2 4 4 2" xfId="4312"/>
    <cellStyle name="常规 4 2 2 4 5" xfId="4309"/>
    <cellStyle name="常规 4 2 2 5" xfId="914"/>
    <cellStyle name="常规 4 2 2 5 2" xfId="4313"/>
    <cellStyle name="常规 4 2 2 6" xfId="1752"/>
    <cellStyle name="常规 4 2 2 6 2" xfId="4314"/>
    <cellStyle name="常规 4 2 2 7" xfId="1754"/>
    <cellStyle name="常规 4 2 2 7 2" xfId="4315"/>
    <cellStyle name="常规 4 2 2 8" xfId="2630"/>
    <cellStyle name="常规 4 2 2 9" xfId="4300"/>
    <cellStyle name="常规 4 2 3" xfId="1756"/>
    <cellStyle name="常规 4 2 3 2" xfId="1758"/>
    <cellStyle name="常规 4 2 3 2 2" xfId="4317"/>
    <cellStyle name="常规 4 2 3 3" xfId="1759"/>
    <cellStyle name="常规 4 2 3 3 2" xfId="4318"/>
    <cellStyle name="常规 4 2 3 4" xfId="918"/>
    <cellStyle name="常规 4 2 3 4 2" xfId="4319"/>
    <cellStyle name="常规 4 2 3 5" xfId="2631"/>
    <cellStyle name="常规 4 2 3 6" xfId="4316"/>
    <cellStyle name="常规 4 2 4" xfId="1761"/>
    <cellStyle name="常规 4 2 4 2" xfId="1763"/>
    <cellStyle name="常规 4 2 4 2 2" xfId="4321"/>
    <cellStyle name="常规 4 2 4 3" xfId="1764"/>
    <cellStyle name="常规 4 2 4 3 2" xfId="4322"/>
    <cellStyle name="常规 4 2 4 4" xfId="1765"/>
    <cellStyle name="常规 4 2 4 4 2" xfId="4323"/>
    <cellStyle name="常规 4 2 4 5" xfId="4320"/>
    <cellStyle name="常规 4 2 5" xfId="1766"/>
    <cellStyle name="常规 4 2 5 2" xfId="722"/>
    <cellStyle name="常规 4 2 5 2 2" xfId="4325"/>
    <cellStyle name="常规 4 2 5 3" xfId="727"/>
    <cellStyle name="常规 4 2 5 3 2" xfId="4326"/>
    <cellStyle name="常规 4 2 5 4" xfId="4324"/>
    <cellStyle name="常规 4 2 6" xfId="1430"/>
    <cellStyle name="常规 4 2 6 2" xfId="759"/>
    <cellStyle name="常规 4 2 6 2 2" xfId="4328"/>
    <cellStyle name="常规 4 2 6 3" xfId="764"/>
    <cellStyle name="常规 4 2 6 3 2" xfId="4329"/>
    <cellStyle name="常规 4 2 6 4" xfId="310"/>
    <cellStyle name="常规 4 2 6 4 2" xfId="4330"/>
    <cellStyle name="常规 4 2 6 5" xfId="4327"/>
    <cellStyle name="常规 4 2 7" xfId="1768"/>
    <cellStyle name="常规 4 2 7 2" xfId="4331"/>
    <cellStyle name="常规 4 2 8" xfId="1770"/>
    <cellStyle name="常规 4 2 8 2" xfId="4332"/>
    <cellStyle name="常规 4 2 9" xfId="1771"/>
    <cellStyle name="常规 4 2 9 2" xfId="4333"/>
    <cellStyle name="常规 4 3" xfId="1772"/>
    <cellStyle name="常规 4 3 2" xfId="1774"/>
    <cellStyle name="常规 4 3 2 2" xfId="4336"/>
    <cellStyle name="常规 4 3 2 3" xfId="4335"/>
    <cellStyle name="常规 4 3 3" xfId="1776"/>
    <cellStyle name="常规 4 3 3 2" xfId="4337"/>
    <cellStyle name="常规 4 3 4" xfId="902"/>
    <cellStyle name="常规 4 3 4 2" xfId="4338"/>
    <cellStyle name="常规 4 3 5" xfId="2632"/>
    <cellStyle name="常规 4 3 6" xfId="4334"/>
    <cellStyle name="常规 4 4" xfId="1732"/>
    <cellStyle name="常规 4 4 2" xfId="2633"/>
    <cellStyle name="常规 4 4 3" xfId="4339"/>
    <cellStyle name="常规 4 5" xfId="1755"/>
    <cellStyle name="常规 4 5 2" xfId="2634"/>
    <cellStyle name="常规 4 5 3" xfId="4340"/>
    <cellStyle name="常规 4 6" xfId="1760"/>
    <cellStyle name="常规 4 6 2" xfId="2635"/>
    <cellStyle name="常规 4 6 3" xfId="4341"/>
    <cellStyle name="常规 4 7" xfId="2628"/>
    <cellStyle name="常规 4_征收计划表8" xfId="2636"/>
    <cellStyle name="常规 40" xfId="2637"/>
    <cellStyle name="常规 41" xfId="2638"/>
    <cellStyle name="常规 42" xfId="2639"/>
    <cellStyle name="常规 43" xfId="2640"/>
    <cellStyle name="常规 44" xfId="2641"/>
    <cellStyle name="常规 44 2" xfId="4978"/>
    <cellStyle name="常规 45" xfId="2642"/>
    <cellStyle name="常规 45 2" xfId="4980"/>
    <cellStyle name="常规 46" xfId="2643"/>
    <cellStyle name="常规 47" xfId="2644"/>
    <cellStyle name="常规 48" xfId="2645"/>
    <cellStyle name="常规 48 2" xfId="4979"/>
    <cellStyle name="常规 48 3" xfId="4974"/>
    <cellStyle name="常规 49" xfId="2392"/>
    <cellStyle name="常规 49 2" xfId="4975"/>
    <cellStyle name="常规 5" xfId="1777"/>
    <cellStyle name="常规 5 10" xfId="2646"/>
    <cellStyle name="常规 5 2" xfId="1778"/>
    <cellStyle name="常规 5 2 2" xfId="1779"/>
    <cellStyle name="常规 5 2 2 2" xfId="1780"/>
    <cellStyle name="常规 5 2 2 2 2" xfId="4342"/>
    <cellStyle name="常规 5 2 2 3" xfId="1781"/>
    <cellStyle name="常规 5 2 2 3 2" xfId="4343"/>
    <cellStyle name="常规 5 2 2 4" xfId="292"/>
    <cellStyle name="常规 5 2 2 4 2" xfId="4344"/>
    <cellStyle name="常规 5 2 2 5" xfId="295"/>
    <cellStyle name="常规 5 2 2 5 2" xfId="4345"/>
    <cellStyle name="常规 5 2 2 6" xfId="2648"/>
    <cellStyle name="常规 5 2 3" xfId="1782"/>
    <cellStyle name="常规 5 2 3 2" xfId="1783"/>
    <cellStyle name="常规 5 2 3 2 2" xfId="4347"/>
    <cellStyle name="常规 5 2 3 3" xfId="1784"/>
    <cellStyle name="常规 5 2 3 3 2" xfId="4348"/>
    <cellStyle name="常规 5 2 3 4" xfId="2649"/>
    <cellStyle name="常规 5 2 3 5" xfId="4346"/>
    <cellStyle name="常规 5 2 4" xfId="1785"/>
    <cellStyle name="常规 5 2 4 2" xfId="1786"/>
    <cellStyle name="常规 5 2 4 2 2" xfId="4349"/>
    <cellStyle name="常规 5 2 4 3" xfId="1787"/>
    <cellStyle name="常规 5 2 4 3 2" xfId="4350"/>
    <cellStyle name="常规 5 2 4 4" xfId="1789"/>
    <cellStyle name="常规 5 2 4 4 2" xfId="4351"/>
    <cellStyle name="常规 5 2 4 5" xfId="2650"/>
    <cellStyle name="常规 5 2 5" xfId="1790"/>
    <cellStyle name="常规 5 2 5 2" xfId="4352"/>
    <cellStyle name="常规 5 2 6" xfId="1791"/>
    <cellStyle name="常规 5 2 6 2" xfId="4353"/>
    <cellStyle name="常规 5 2 7" xfId="1792"/>
    <cellStyle name="常规 5 2 7 2" xfId="4354"/>
    <cellStyle name="常规 5 2 8" xfId="2647"/>
    <cellStyle name="常规 5 3" xfId="1793"/>
    <cellStyle name="常规 5 3 2" xfId="1794"/>
    <cellStyle name="常规 5 3 2 2" xfId="4355"/>
    <cellStyle name="常规 5 3 3" xfId="1795"/>
    <cellStyle name="常规 5 3 3 2" xfId="4356"/>
    <cellStyle name="常规 5 3 4" xfId="925"/>
    <cellStyle name="常规 5 3 4 2" xfId="4357"/>
    <cellStyle name="常规 5 3 5" xfId="2651"/>
    <cellStyle name="常规 5 4" xfId="1773"/>
    <cellStyle name="常规 5 4 2" xfId="1796"/>
    <cellStyle name="常规 5 4 2 2" xfId="4359"/>
    <cellStyle name="常规 5 4 3" xfId="1797"/>
    <cellStyle name="常规 5 4 3 2" xfId="4360"/>
    <cellStyle name="常规 5 4 4" xfId="931"/>
    <cellStyle name="常规 5 4 4 2" xfId="4361"/>
    <cellStyle name="常规 5 4 5" xfId="2652"/>
    <cellStyle name="常规 5 4 6" xfId="4358"/>
    <cellStyle name="常规 5 5" xfId="1775"/>
    <cellStyle name="常规 5 5 2" xfId="1798"/>
    <cellStyle name="常规 5 5 2 2" xfId="4362"/>
    <cellStyle name="常规 5 5 3" xfId="1799"/>
    <cellStyle name="常规 5 5 3 2" xfId="4363"/>
    <cellStyle name="常规 5 5 4" xfId="2653"/>
    <cellStyle name="常规 5 6" xfId="901"/>
    <cellStyle name="常规 5 6 2" xfId="904"/>
    <cellStyle name="常规 5 6 2 2" xfId="4365"/>
    <cellStyle name="常规 5 6 3" xfId="1800"/>
    <cellStyle name="常规 5 6 3 2" xfId="4366"/>
    <cellStyle name="常规 5 6 4" xfId="1801"/>
    <cellStyle name="常规 5 6 4 2" xfId="4367"/>
    <cellStyle name="常规 5 6 5" xfId="4364"/>
    <cellStyle name="常规 5 7" xfId="906"/>
    <cellStyle name="常规 5 7 2" xfId="4368"/>
    <cellStyle name="常规 5 8" xfId="1803"/>
    <cellStyle name="常规 5 8 2" xfId="4369"/>
    <cellStyle name="常规 5 9" xfId="1805"/>
    <cellStyle name="常规 5 9 2" xfId="4370"/>
    <cellStyle name="常规 50" xfId="2800"/>
    <cellStyle name="常规 50 2" xfId="4976"/>
    <cellStyle name="常规 51" xfId="2801"/>
    <cellStyle name="常规 51 2" xfId="4981"/>
    <cellStyle name="常规 52" xfId="2802"/>
    <cellStyle name="常规 53" xfId="2803"/>
    <cellStyle name="常规 54" xfId="2816"/>
    <cellStyle name="常规 55" xfId="2832"/>
    <cellStyle name="常规 56" xfId="2833"/>
    <cellStyle name="常规 57" xfId="2836"/>
    <cellStyle name="常规 57 2" xfId="7555"/>
    <cellStyle name="常规 57 3" xfId="7556"/>
    <cellStyle name="常规 57 3 2" xfId="7557"/>
    <cellStyle name="常规 58" xfId="2837"/>
    <cellStyle name="常规 58 2" xfId="7558"/>
    <cellStyle name="常规 58 3" xfId="7559"/>
    <cellStyle name="常规 58 3 2" xfId="7560"/>
    <cellStyle name="常规 59" xfId="2838"/>
    <cellStyle name="常规 59 2" xfId="7561"/>
    <cellStyle name="常规 59 3" xfId="7562"/>
    <cellStyle name="常规 59 3 2" xfId="7563"/>
    <cellStyle name="常规 6" xfId="1806"/>
    <cellStyle name="常规 6 2" xfId="1807"/>
    <cellStyle name="常规 6 2 2" xfId="1808"/>
    <cellStyle name="常规 6 2 2 2" xfId="1809"/>
    <cellStyle name="常规 6 2 2 2 2" xfId="1811"/>
    <cellStyle name="常规 6 2 2 3" xfId="1812"/>
    <cellStyle name="常规 6 2 2 4" xfId="2656"/>
    <cellStyle name="常规 6 2 3" xfId="1813"/>
    <cellStyle name="常规 6 2 3 2" xfId="1814"/>
    <cellStyle name="常规 6 2 3 3" xfId="2657"/>
    <cellStyle name="常规 6 2 4" xfId="1815"/>
    <cellStyle name="常规 6 2 5" xfId="2655"/>
    <cellStyle name="常规 6 3" xfId="1816"/>
    <cellStyle name="常规 6 3 2" xfId="1817"/>
    <cellStyle name="常规 6 3 2 2" xfId="1818"/>
    <cellStyle name="常规 6 3 3" xfId="1819"/>
    <cellStyle name="常规 6 3 4" xfId="2658"/>
    <cellStyle name="常规 6 4" xfId="1734"/>
    <cellStyle name="常规 6 4 2" xfId="1736"/>
    <cellStyle name="常规 6 4 3" xfId="2659"/>
    <cellStyle name="常规 6 5" xfId="1742"/>
    <cellStyle name="常规 6 6" xfId="2654"/>
    <cellStyle name="常规 60" xfId="2839"/>
    <cellStyle name="常规 60 2" xfId="7564"/>
    <cellStyle name="常规 60 3" xfId="7565"/>
    <cellStyle name="常规 60 3 2" xfId="7566"/>
    <cellStyle name="常规 61" xfId="2840"/>
    <cellStyle name="常规 61 2" xfId="7567"/>
    <cellStyle name="常规 61 3" xfId="7568"/>
    <cellStyle name="常规 61 3 2" xfId="7569"/>
    <cellStyle name="常规 62" xfId="2841"/>
    <cellStyle name="常规 62 2" xfId="7570"/>
    <cellStyle name="常规 62 3" xfId="7571"/>
    <cellStyle name="常规 62 3 2" xfId="7572"/>
    <cellStyle name="常规 63" xfId="2842"/>
    <cellStyle name="常规 63 2" xfId="7573"/>
    <cellStyle name="常规 63 3" xfId="7574"/>
    <cellStyle name="常规 63 3 2" xfId="7575"/>
    <cellStyle name="常规 64" xfId="2843"/>
    <cellStyle name="常规 64 2" xfId="7576"/>
    <cellStyle name="常规 64 3" xfId="7577"/>
    <cellStyle name="常规 64 3 2" xfId="7578"/>
    <cellStyle name="常规 65" xfId="2844"/>
    <cellStyle name="常规 65 2" xfId="7579"/>
    <cellStyle name="常规 65 3" xfId="7580"/>
    <cellStyle name="常规 65 3 2" xfId="7581"/>
    <cellStyle name="常规 66" xfId="2845"/>
    <cellStyle name="常规 66 2" xfId="7582"/>
    <cellStyle name="常规 66 3" xfId="7583"/>
    <cellStyle name="常规 66 3 2" xfId="7584"/>
    <cellStyle name="常规 67" xfId="2846"/>
    <cellStyle name="常规 67 2" xfId="7585"/>
    <cellStyle name="常规 67 3" xfId="7586"/>
    <cellStyle name="常规 67 3 2" xfId="7587"/>
    <cellStyle name="常规 68" xfId="2847"/>
    <cellStyle name="常规 68 2" xfId="7588"/>
    <cellStyle name="常规 68 3" xfId="7589"/>
    <cellStyle name="常规 68 3 2" xfId="7590"/>
    <cellStyle name="常规 69" xfId="2848"/>
    <cellStyle name="常规 69 2" xfId="7591"/>
    <cellStyle name="常规 69 3" xfId="7592"/>
    <cellStyle name="常规 69 3 2" xfId="7593"/>
    <cellStyle name="常规 7" xfId="1820"/>
    <cellStyle name="常规 7 2" xfId="1821"/>
    <cellStyle name="常规 7 2 2" xfId="10"/>
    <cellStyle name="常规 7 2 2 2" xfId="47"/>
    <cellStyle name="常规 7 2 2 2 2" xfId="4373"/>
    <cellStyle name="常规 7 2 2 3" xfId="2663"/>
    <cellStyle name="常规 7 2 2 4" xfId="4372"/>
    <cellStyle name="常规 7 2 3" xfId="102"/>
    <cellStyle name="常规 7 2 3 2" xfId="2664"/>
    <cellStyle name="常规 7 2 3 3" xfId="4374"/>
    <cellStyle name="常规 7 2 4" xfId="2662"/>
    <cellStyle name="常规 7 2 5" xfId="4371"/>
    <cellStyle name="常规 7 3" xfId="1822"/>
    <cellStyle name="常规 7 3 2" xfId="112"/>
    <cellStyle name="常规 7 3 2 2" xfId="4376"/>
    <cellStyle name="常规 7 3 3" xfId="2665"/>
    <cellStyle name="常规 7 3 4" xfId="4375"/>
    <cellStyle name="常规 7 4" xfId="1757"/>
    <cellStyle name="常规 7 4 2" xfId="2666"/>
    <cellStyle name="常规 7 4 3" xfId="4377"/>
    <cellStyle name="常规 7 5" xfId="2667"/>
    <cellStyle name="常规 7 6" xfId="2661"/>
    <cellStyle name="常规 70" xfId="2849"/>
    <cellStyle name="常规 70 2" xfId="7594"/>
    <cellStyle name="常规 70 3" xfId="7595"/>
    <cellStyle name="常规 70 3 2" xfId="7596"/>
    <cellStyle name="常规 71" xfId="2850"/>
    <cellStyle name="常规 71 2" xfId="7597"/>
    <cellStyle name="常规 71 3" xfId="7598"/>
    <cellStyle name="常规 71 3 2" xfId="7599"/>
    <cellStyle name="常规 72" xfId="2851"/>
    <cellStyle name="常规 73" xfId="4984"/>
    <cellStyle name="常规 73 2" xfId="7600"/>
    <cellStyle name="常规 73 3" xfId="7601"/>
    <cellStyle name="常规 73 3 2" xfId="7602"/>
    <cellStyle name="常规 74" xfId="4985"/>
    <cellStyle name="常规 74 2" xfId="7603"/>
    <cellStyle name="常规 74 3" xfId="7604"/>
    <cellStyle name="常规 74 3 2" xfId="7605"/>
    <cellStyle name="常规 75" xfId="4986"/>
    <cellStyle name="常规 75 2" xfId="7606"/>
    <cellStyle name="常规 75 3" xfId="7607"/>
    <cellStyle name="常规 75 3 2" xfId="7608"/>
    <cellStyle name="常规 76" xfId="4987"/>
    <cellStyle name="常规 76 2" xfId="7609"/>
    <cellStyle name="常规 76 2 2" xfId="7610"/>
    <cellStyle name="常规 76 2 3" xfId="7611"/>
    <cellStyle name="常规 76 2 3 2" xfId="7612"/>
    <cellStyle name="常规 76 3" xfId="7613"/>
    <cellStyle name="常规 76 4" xfId="7614"/>
    <cellStyle name="常规 76 4 2" xfId="7615"/>
    <cellStyle name="常规 77" xfId="4988"/>
    <cellStyle name="常规 77 2" xfId="7616"/>
    <cellStyle name="常规 77 3" xfId="7617"/>
    <cellStyle name="常规 77 3 2" xfId="7618"/>
    <cellStyle name="常规 78" xfId="4989"/>
    <cellStyle name="常规 78 2" xfId="7619"/>
    <cellStyle name="常规 78 3" xfId="7620"/>
    <cellStyle name="常规 78 3 2" xfId="7621"/>
    <cellStyle name="常规 79" xfId="4990"/>
    <cellStyle name="常规 79 2" xfId="7622"/>
    <cellStyle name="常规 79 3" xfId="7623"/>
    <cellStyle name="常规 79 3 2" xfId="7624"/>
    <cellStyle name="常规 8" xfId="1823"/>
    <cellStyle name="常规 8 2" xfId="1825"/>
    <cellStyle name="常规 8 2 2" xfId="117"/>
    <cellStyle name="常规 8 2 2 2" xfId="1826"/>
    <cellStyle name="常规 8 2 2 2 2" xfId="4380"/>
    <cellStyle name="常规 8 2 2 3" xfId="4379"/>
    <cellStyle name="常规 8 2 3" xfId="1828"/>
    <cellStyle name="常规 8 2 3 2" xfId="4381"/>
    <cellStyle name="常规 8 2 4" xfId="2669"/>
    <cellStyle name="常规 8 2 5" xfId="4378"/>
    <cellStyle name="常规 8 3" xfId="978"/>
    <cellStyle name="常规 8 3 2" xfId="1829"/>
    <cellStyle name="常规 8 3 2 2" xfId="4383"/>
    <cellStyle name="常规 8 3 3" xfId="2670"/>
    <cellStyle name="常规 8 3 4" xfId="4382"/>
    <cellStyle name="常规 8 4" xfId="1762"/>
    <cellStyle name="常规 8 4 2" xfId="2671"/>
    <cellStyle name="常规 8 4 3" xfId="4384"/>
    <cellStyle name="常规 8 5" xfId="2672"/>
    <cellStyle name="常规 8 6" xfId="2668"/>
    <cellStyle name="常规 8_报 预算   行政政法处(1)" xfId="2673"/>
    <cellStyle name="常规 80" xfId="7625"/>
    <cellStyle name="常规 81" xfId="7626"/>
    <cellStyle name="常规 82" xfId="7627"/>
    <cellStyle name="常规 83" xfId="7628"/>
    <cellStyle name="常规 84" xfId="7629"/>
    <cellStyle name="常规 85" xfId="7630"/>
    <cellStyle name="常规 86" xfId="7631"/>
    <cellStyle name="常规 87" xfId="7632"/>
    <cellStyle name="常规 88" xfId="7633"/>
    <cellStyle name="常规 89" xfId="7634"/>
    <cellStyle name="常规 9" xfId="1830"/>
    <cellStyle name="常规 9 2" xfId="702"/>
    <cellStyle name="常规 9 2 2" xfId="705"/>
    <cellStyle name="常规 9 2 2 2" xfId="707"/>
    <cellStyle name="常规 9 2 3" xfId="711"/>
    <cellStyle name="常规 9 3" xfId="715"/>
    <cellStyle name="常规 9 3 2" xfId="717"/>
    <cellStyle name="常规 9 4" xfId="721"/>
    <cellStyle name="常规 9 5" xfId="2674"/>
    <cellStyle name="常规 90" xfId="7635"/>
    <cellStyle name="常规 91" xfId="7636"/>
    <cellStyle name="常规 92" xfId="7637"/>
    <cellStyle name="常规 93" xfId="7638"/>
    <cellStyle name="常规 94" xfId="7639"/>
    <cellStyle name="常规 95" xfId="7640"/>
    <cellStyle name="常规 96" xfId="7641"/>
    <cellStyle name="常规 97" xfId="7642"/>
    <cellStyle name="常规 98" xfId="7643"/>
    <cellStyle name="常规 99" xfId="7644"/>
    <cellStyle name="常规_2006年预算表" xfId="1836"/>
    <cellStyle name="常规_2007年云南省向人大报送政府收支预算表格式编制过程表" xfId="2834"/>
    <cellStyle name="常规_2009年预算安排表" xfId="4991"/>
    <cellStyle name="超级链接" xfId="1837"/>
    <cellStyle name="超级链接 2" xfId="1838"/>
    <cellStyle name="超级链接 2 2" xfId="1839"/>
    <cellStyle name="超级链接 2 2 2" xfId="1840"/>
    <cellStyle name="超级链接 2 2 2 2" xfId="1458"/>
    <cellStyle name="超级链接 2 2 3" xfId="1841"/>
    <cellStyle name="超级链接 2 3" xfId="1842"/>
    <cellStyle name="超级链接 2 3 2" xfId="1843"/>
    <cellStyle name="超级链接 2 4" xfId="1105"/>
    <cellStyle name="超级链接 3" xfId="1844"/>
    <cellStyle name="超级链接 3 2" xfId="1845"/>
    <cellStyle name="超级链接 3 2 2" xfId="1846"/>
    <cellStyle name="超级链接 3 3" xfId="1847"/>
    <cellStyle name="超级链接 4" xfId="1046"/>
    <cellStyle name="超级链接 4 2" xfId="1049"/>
    <cellStyle name="超级链接 5" xfId="1051"/>
    <cellStyle name="好" xfId="229"/>
    <cellStyle name="好 2" xfId="1848"/>
    <cellStyle name="好 2 2" xfId="1849"/>
    <cellStyle name="好 2 2 2" xfId="1850"/>
    <cellStyle name="好 2 2 2 2" xfId="1852"/>
    <cellStyle name="好 2 2 2 2 2" xfId="4385"/>
    <cellStyle name="好 2 2 2 2 2 2" xfId="7645"/>
    <cellStyle name="好 2 2 2 2 2 3" xfId="7646"/>
    <cellStyle name="好 2 2 2 2 2 3 2" xfId="7647"/>
    <cellStyle name="好 2 2 2 3" xfId="2678"/>
    <cellStyle name="好 2 2 2 3 2" xfId="7648"/>
    <cellStyle name="好 2 2 2 3 3" xfId="7649"/>
    <cellStyle name="好 2 2 2 3 3 2" xfId="7650"/>
    <cellStyle name="好 2 2 3" xfId="1853"/>
    <cellStyle name="好 2 2 3 2" xfId="2679"/>
    <cellStyle name="好 2 2 3 2 2" xfId="7651"/>
    <cellStyle name="好 2 2 3 2 3" xfId="7652"/>
    <cellStyle name="好 2 2 3 2 3 2" xfId="7653"/>
    <cellStyle name="好 2 2 4" xfId="2677"/>
    <cellStyle name="好 2 2 4 2" xfId="7654"/>
    <cellStyle name="好 2 2 4 3" xfId="7655"/>
    <cellStyle name="好 2 2 4 3 2" xfId="7656"/>
    <cellStyle name="好 2 3" xfId="851"/>
    <cellStyle name="好 2 3 2" xfId="853"/>
    <cellStyle name="好 2 3 2 2" xfId="4386"/>
    <cellStyle name="好 2 3 2 2 2" xfId="7657"/>
    <cellStyle name="好 2 3 2 2 3" xfId="7658"/>
    <cellStyle name="好 2 3 2 2 3 2" xfId="7659"/>
    <cellStyle name="好 2 3 3" xfId="2680"/>
    <cellStyle name="好 2 3 3 2" xfId="7660"/>
    <cellStyle name="好 2 3 3 3" xfId="7661"/>
    <cellStyle name="好 2 3 3 3 2" xfId="7662"/>
    <cellStyle name="好 2 4" xfId="865"/>
    <cellStyle name="好 2 4 2" xfId="4387"/>
    <cellStyle name="好 2 4 2 2" xfId="7663"/>
    <cellStyle name="好 2 4 2 3" xfId="7664"/>
    <cellStyle name="好 2 4 2 3 2" xfId="7665"/>
    <cellStyle name="好 2 5" xfId="2676"/>
    <cellStyle name="好 2 5 2" xfId="7666"/>
    <cellStyle name="好 2 5 3" xfId="7667"/>
    <cellStyle name="好 2 5 3 2" xfId="7668"/>
    <cellStyle name="好 3" xfId="1854"/>
    <cellStyle name="好 3 2" xfId="1855"/>
    <cellStyle name="好 3 2 2" xfId="1856"/>
    <cellStyle name="好 3 2 2 2" xfId="1714"/>
    <cellStyle name="好 3 2 2 2 2" xfId="4390"/>
    <cellStyle name="好 3 2 2 2 2 2" xfId="7669"/>
    <cellStyle name="好 3 2 2 2 2 3" xfId="7670"/>
    <cellStyle name="好 3 2 2 2 2 3 2" xfId="7671"/>
    <cellStyle name="好 3 2 2 3" xfId="4389"/>
    <cellStyle name="好 3 2 2 3 2" xfId="7672"/>
    <cellStyle name="好 3 2 2 3 3" xfId="7673"/>
    <cellStyle name="好 3 2 2 3 3 2" xfId="7674"/>
    <cellStyle name="好 3 2 3" xfId="1857"/>
    <cellStyle name="好 3 2 3 2" xfId="4391"/>
    <cellStyle name="好 3 2 3 2 2" xfId="7675"/>
    <cellStyle name="好 3 2 3 2 3" xfId="7676"/>
    <cellStyle name="好 3 2 3 2 3 2" xfId="7677"/>
    <cellStyle name="好 3 2 4" xfId="4388"/>
    <cellStyle name="好 3 2 4 2" xfId="7678"/>
    <cellStyle name="好 3 2 4 3" xfId="7679"/>
    <cellStyle name="好 3 2 4 3 2" xfId="7680"/>
    <cellStyle name="好 3 3" xfId="897"/>
    <cellStyle name="好 3 3 2" xfId="899"/>
    <cellStyle name="好 3 3 2 2" xfId="4393"/>
    <cellStyle name="好 3 3 2 2 2" xfId="7681"/>
    <cellStyle name="好 3 3 2 2 3" xfId="7682"/>
    <cellStyle name="好 3 3 2 2 3 2" xfId="7683"/>
    <cellStyle name="好 3 3 3" xfId="4392"/>
    <cellStyle name="好 3 3 3 2" xfId="7684"/>
    <cellStyle name="好 3 3 3 3" xfId="7685"/>
    <cellStyle name="好 3 3 3 3 2" xfId="7686"/>
    <cellStyle name="好 3 4" xfId="922"/>
    <cellStyle name="好 3 4 2" xfId="4394"/>
    <cellStyle name="好 3 4 2 2" xfId="7687"/>
    <cellStyle name="好 3 4 2 3" xfId="7688"/>
    <cellStyle name="好 3 4 2 3 2" xfId="7689"/>
    <cellStyle name="好 3 5" xfId="2681"/>
    <cellStyle name="好 3 5 2" xfId="7690"/>
    <cellStyle name="好 3 5 3" xfId="7691"/>
    <cellStyle name="好 3 5 3 2" xfId="7692"/>
    <cellStyle name="好 4" xfId="1858"/>
    <cellStyle name="好 4 2" xfId="1513"/>
    <cellStyle name="好 4 2 2" xfId="193"/>
    <cellStyle name="好 4 2 2 2" xfId="4397"/>
    <cellStyle name="好 4 2 2 2 2" xfId="7693"/>
    <cellStyle name="好 4 2 2 2 3" xfId="7694"/>
    <cellStyle name="好 4 2 2 2 3 2" xfId="7695"/>
    <cellStyle name="好 4 2 3" xfId="4396"/>
    <cellStyle name="好 4 2 3 2" xfId="7696"/>
    <cellStyle name="好 4 2 3 3" xfId="7697"/>
    <cellStyle name="好 4 2 3 3 2" xfId="7698"/>
    <cellStyle name="好 4 3" xfId="1521"/>
    <cellStyle name="好 4 3 2" xfId="4398"/>
    <cellStyle name="好 4 3 2 2" xfId="7699"/>
    <cellStyle name="好 4 3 2 3" xfId="7700"/>
    <cellStyle name="好 4 3 2 3 2" xfId="7701"/>
    <cellStyle name="好 4 4" xfId="4395"/>
    <cellStyle name="好 4 4 2" xfId="7702"/>
    <cellStyle name="好 4 4 3" xfId="7703"/>
    <cellStyle name="好 4 4 3 2" xfId="7704"/>
    <cellStyle name="好 5" xfId="1362"/>
    <cellStyle name="好 5 2" xfId="1365"/>
    <cellStyle name="好 5 2 2" xfId="394"/>
    <cellStyle name="好 5 2 2 2" xfId="4401"/>
    <cellStyle name="好 5 2 2 2 2" xfId="7705"/>
    <cellStyle name="好 5 2 2 2 3" xfId="7706"/>
    <cellStyle name="好 5 2 2 2 3 2" xfId="7707"/>
    <cellStyle name="好 5 2 3" xfId="4400"/>
    <cellStyle name="好 5 2 3 2" xfId="7708"/>
    <cellStyle name="好 5 2 3 3" xfId="7709"/>
    <cellStyle name="好 5 2 3 3 2" xfId="7710"/>
    <cellStyle name="好 5 3" xfId="1368"/>
    <cellStyle name="好 5 3 2" xfId="4402"/>
    <cellStyle name="好 5 3 2 2" xfId="7711"/>
    <cellStyle name="好 5 3 2 3" xfId="7712"/>
    <cellStyle name="好 5 3 2 3 2" xfId="7713"/>
    <cellStyle name="好 5 4" xfId="4399"/>
    <cellStyle name="好 5 4 2" xfId="7714"/>
    <cellStyle name="好 5 4 3" xfId="7715"/>
    <cellStyle name="好 5 4 3 2" xfId="7716"/>
    <cellStyle name="好 6" xfId="1370"/>
    <cellStyle name="好 6 2" xfId="1372"/>
    <cellStyle name="好 6 2 2" xfId="4404"/>
    <cellStyle name="好 6 2 2 2" xfId="7717"/>
    <cellStyle name="好 6 2 2 3" xfId="7718"/>
    <cellStyle name="好 6 2 2 3 2" xfId="7719"/>
    <cellStyle name="好 6 3" xfId="4403"/>
    <cellStyle name="好 6 3 2" xfId="7720"/>
    <cellStyle name="好 6 3 3" xfId="7721"/>
    <cellStyle name="好 6 3 3 2" xfId="7722"/>
    <cellStyle name="好 7" xfId="1375"/>
    <cellStyle name="好 7 2" xfId="4405"/>
    <cellStyle name="好 7 2 2" xfId="7723"/>
    <cellStyle name="好 7 2 3" xfId="7724"/>
    <cellStyle name="好 7 2 3 2" xfId="7725"/>
    <cellStyle name="好 8" xfId="2675"/>
    <cellStyle name="好 8 2" xfId="7726"/>
    <cellStyle name="好 8 3" xfId="7727"/>
    <cellStyle name="好 8 3 2" xfId="7728"/>
    <cellStyle name="好_5.中央部门决算（草案)-1" xfId="2682"/>
    <cellStyle name="好_F00DC810C49E00C2E0430A3413167AE0" xfId="2683"/>
    <cellStyle name="好_出版署2010年度中央部门决算草案" xfId="2684"/>
    <cellStyle name="好_全国友协2010年度中央部门决算（草案）" xfId="2685"/>
    <cellStyle name="好_司法部2010年度中央部门决算（草案）报" xfId="2686"/>
    <cellStyle name="后继超级链接" xfId="1859"/>
    <cellStyle name="后继超级链接 2" xfId="1860"/>
    <cellStyle name="后继超级链接 2 2" xfId="1861"/>
    <cellStyle name="后继超级链接 2 2 2" xfId="1862"/>
    <cellStyle name="后继超级链接 2 2 2 2" xfId="1864"/>
    <cellStyle name="后继超级链接 2 2 3" xfId="1865"/>
    <cellStyle name="后继超级链接 2 3" xfId="1866"/>
    <cellStyle name="后继超级链接 2 3 2" xfId="1867"/>
    <cellStyle name="后继超级链接 2 4" xfId="1868"/>
    <cellStyle name="后继超级链接 3" xfId="1869"/>
    <cellStyle name="后继超级链接 3 2" xfId="348"/>
    <cellStyle name="后继超级链接 3 2 2" xfId="351"/>
    <cellStyle name="后继超级链接 3 3" xfId="356"/>
    <cellStyle name="后继超级链接 4" xfId="1364"/>
    <cellStyle name="后继超级链接 4 2" xfId="393"/>
    <cellStyle name="后继超级链接 5" xfId="1367"/>
    <cellStyle name="汇总" xfId="1870"/>
    <cellStyle name="汇总 2" xfId="1871"/>
    <cellStyle name="汇总 2 10" xfId="7729"/>
    <cellStyle name="汇总 2 10 2" xfId="7730"/>
    <cellStyle name="汇总 2 2" xfId="1872"/>
    <cellStyle name="汇总 2 2 2" xfId="1873"/>
    <cellStyle name="汇总 2 2 2 2" xfId="1874"/>
    <cellStyle name="汇总 2 2 2 2 2" xfId="7731"/>
    <cellStyle name="汇总 2 2 2 2 2 2" xfId="7732"/>
    <cellStyle name="汇总 2 2 2 2 3" xfId="7733"/>
    <cellStyle name="汇总 2 2 2 2 3 2" xfId="7734"/>
    <cellStyle name="汇总 2 2 2 2 4" xfId="7735"/>
    <cellStyle name="汇总 2 2 2 2 4 2" xfId="7736"/>
    <cellStyle name="汇总 2 2 2 2 5" xfId="7737"/>
    <cellStyle name="汇总 2 2 2 2 5 2" xfId="7738"/>
    <cellStyle name="汇总 2 2 2 2 6" xfId="7739"/>
    <cellStyle name="汇总 2 2 2 2 6 2" xfId="7740"/>
    <cellStyle name="汇总 2 2 2 3" xfId="7741"/>
    <cellStyle name="汇总 2 2 2 3 2" xfId="7742"/>
    <cellStyle name="汇总 2 2 2 4" xfId="7743"/>
    <cellStyle name="汇总 2 2 2 4 2" xfId="7744"/>
    <cellStyle name="汇总 2 2 2 5" xfId="7745"/>
    <cellStyle name="汇总 2 2 2 5 2" xfId="7746"/>
    <cellStyle name="汇总 2 2 2 6" xfId="7747"/>
    <cellStyle name="汇总 2 2 2 6 2" xfId="7748"/>
    <cellStyle name="汇总 2 2 2 7" xfId="7749"/>
    <cellStyle name="汇总 2 2 2 7 2" xfId="7750"/>
    <cellStyle name="汇总 2 2 3" xfId="1876"/>
    <cellStyle name="汇总 2 2 3 2" xfId="7751"/>
    <cellStyle name="汇总 2 2 3 2 2" xfId="7752"/>
    <cellStyle name="汇总 2 2 3 3" xfId="7753"/>
    <cellStyle name="汇总 2 2 3 3 2" xfId="7754"/>
    <cellStyle name="汇总 2 2 3 4" xfId="7755"/>
    <cellStyle name="汇总 2 2 3 4 2" xfId="7756"/>
    <cellStyle name="汇总 2 2 3 5" xfId="7757"/>
    <cellStyle name="汇总 2 2 3 5 2" xfId="7758"/>
    <cellStyle name="汇总 2 2 3 6" xfId="7759"/>
    <cellStyle name="汇总 2 2 3 6 2" xfId="7760"/>
    <cellStyle name="汇总 2 2 4" xfId="7761"/>
    <cellStyle name="汇总 2 2 4 2" xfId="7762"/>
    <cellStyle name="汇总 2 2 5" xfId="7763"/>
    <cellStyle name="汇总 2 2 5 2" xfId="7764"/>
    <cellStyle name="汇总 2 2 6" xfId="7765"/>
    <cellStyle name="汇总 2 2 6 2" xfId="7766"/>
    <cellStyle name="汇总 2 2 7" xfId="7767"/>
    <cellStyle name="汇总 2 2 7 2" xfId="7768"/>
    <cellStyle name="汇总 2 2 8" xfId="7769"/>
    <cellStyle name="汇总 2 2 8 2" xfId="7770"/>
    <cellStyle name="汇总 2 3" xfId="1877"/>
    <cellStyle name="汇总 2 3 2" xfId="1879"/>
    <cellStyle name="汇总 2 3 2 2" xfId="1881"/>
    <cellStyle name="汇总 2 3 2 2 2" xfId="7771"/>
    <cellStyle name="汇总 2 3 2 2 2 2" xfId="7772"/>
    <cellStyle name="汇总 2 3 2 2 3" xfId="7773"/>
    <cellStyle name="汇总 2 3 2 2 3 2" xfId="7774"/>
    <cellStyle name="汇总 2 3 2 2 4" xfId="7775"/>
    <cellStyle name="汇总 2 3 2 2 4 2" xfId="7776"/>
    <cellStyle name="汇总 2 3 2 2 5" xfId="7777"/>
    <cellStyle name="汇总 2 3 2 2 5 2" xfId="7778"/>
    <cellStyle name="汇总 2 3 2 2 6" xfId="7779"/>
    <cellStyle name="汇总 2 3 2 2 6 2" xfId="7780"/>
    <cellStyle name="汇总 2 3 2 3" xfId="7781"/>
    <cellStyle name="汇总 2 3 2 3 2" xfId="7782"/>
    <cellStyle name="汇总 2 3 2 4" xfId="7783"/>
    <cellStyle name="汇总 2 3 2 4 2" xfId="7784"/>
    <cellStyle name="汇总 2 3 2 5" xfId="7785"/>
    <cellStyle name="汇总 2 3 2 5 2" xfId="7786"/>
    <cellStyle name="汇总 2 3 2 6" xfId="7787"/>
    <cellStyle name="汇总 2 3 2 6 2" xfId="7788"/>
    <cellStyle name="汇总 2 3 2 7" xfId="7789"/>
    <cellStyle name="汇总 2 3 2 7 2" xfId="7790"/>
    <cellStyle name="汇总 2 3 3" xfId="1884"/>
    <cellStyle name="汇总 2 3 3 2" xfId="7791"/>
    <cellStyle name="汇总 2 3 3 2 2" xfId="7792"/>
    <cellStyle name="汇总 2 3 3 3" xfId="7793"/>
    <cellStyle name="汇总 2 3 3 3 2" xfId="7794"/>
    <cellStyle name="汇总 2 3 3 4" xfId="7795"/>
    <cellStyle name="汇总 2 3 3 4 2" xfId="7796"/>
    <cellStyle name="汇总 2 3 3 5" xfId="7797"/>
    <cellStyle name="汇总 2 3 3 5 2" xfId="7798"/>
    <cellStyle name="汇总 2 3 3 6" xfId="7799"/>
    <cellStyle name="汇总 2 3 3 6 2" xfId="7800"/>
    <cellStyle name="汇总 2 3 4" xfId="2690"/>
    <cellStyle name="汇总 2 3 4 2" xfId="7801"/>
    <cellStyle name="汇总 2 3 4 2 2" xfId="7802"/>
    <cellStyle name="汇总 2 3 4 3" xfId="7803"/>
    <cellStyle name="汇总 2 3 4 3 2" xfId="7804"/>
    <cellStyle name="汇总 2 3 4 4" xfId="7805"/>
    <cellStyle name="汇总 2 3 4 4 2" xfId="7806"/>
    <cellStyle name="汇总 2 3 4 5" xfId="7807"/>
    <cellStyle name="汇总 2 3 4 5 2" xfId="7808"/>
    <cellStyle name="汇总 2 3 4 6" xfId="7809"/>
    <cellStyle name="汇总 2 3 4 6 2" xfId="7810"/>
    <cellStyle name="汇总 2 3 5" xfId="7811"/>
    <cellStyle name="汇总 2 3 5 2" xfId="7812"/>
    <cellStyle name="汇总 2 3 6" xfId="7813"/>
    <cellStyle name="汇总 2 3 6 2" xfId="7814"/>
    <cellStyle name="汇总 2 3 7" xfId="7815"/>
    <cellStyle name="汇总 2 3 7 2" xfId="7816"/>
    <cellStyle name="汇总 2 3 8" xfId="7817"/>
    <cellStyle name="汇总 2 3 8 2" xfId="7818"/>
    <cellStyle name="汇总 2 3 9" xfId="7819"/>
    <cellStyle name="汇总 2 3 9 2" xfId="7820"/>
    <cellStyle name="汇总 2 4" xfId="691"/>
    <cellStyle name="汇总 2 4 2" xfId="1887"/>
    <cellStyle name="汇总 2 4 2 2" xfId="7821"/>
    <cellStyle name="汇总 2 4 2 2 2" xfId="7822"/>
    <cellStyle name="汇总 2 4 2 3" xfId="7823"/>
    <cellStyle name="汇总 2 4 2 3 2" xfId="7824"/>
    <cellStyle name="汇总 2 4 2 4" xfId="7825"/>
    <cellStyle name="汇总 2 4 2 4 2" xfId="7826"/>
    <cellStyle name="汇总 2 4 2 5" xfId="7827"/>
    <cellStyle name="汇总 2 4 2 5 2" xfId="7828"/>
    <cellStyle name="汇总 2 4 2 6" xfId="7829"/>
    <cellStyle name="汇总 2 4 2 6 2" xfId="7830"/>
    <cellStyle name="汇总 2 4 3" xfId="7831"/>
    <cellStyle name="汇总 2 4 3 2" xfId="7832"/>
    <cellStyle name="汇总 2 4 4" xfId="7833"/>
    <cellStyle name="汇总 2 4 4 2" xfId="7834"/>
    <cellStyle name="汇总 2 4 5" xfId="7835"/>
    <cellStyle name="汇总 2 4 5 2" xfId="7836"/>
    <cellStyle name="汇总 2 4 6" xfId="7837"/>
    <cellStyle name="汇总 2 4 6 2" xfId="7838"/>
    <cellStyle name="汇总 2 4 7" xfId="7839"/>
    <cellStyle name="汇总 2 4 7 2" xfId="7840"/>
    <cellStyle name="汇总 2 5" xfId="1888"/>
    <cellStyle name="汇总 2 5 2" xfId="7841"/>
    <cellStyle name="汇总 2 5 2 2" xfId="7842"/>
    <cellStyle name="汇总 2 5 3" xfId="7843"/>
    <cellStyle name="汇总 2 5 3 2" xfId="7844"/>
    <cellStyle name="汇总 2 5 4" xfId="7845"/>
    <cellStyle name="汇总 2 5 4 2" xfId="7846"/>
    <cellStyle name="汇总 2 5 5" xfId="7847"/>
    <cellStyle name="汇总 2 5 5 2" xfId="7848"/>
    <cellStyle name="汇总 2 5 6" xfId="7849"/>
    <cellStyle name="汇总 2 5 6 2" xfId="7850"/>
    <cellStyle name="汇总 2 6" xfId="7851"/>
    <cellStyle name="汇总 2 6 2" xfId="7852"/>
    <cellStyle name="汇总 2 7" xfId="7853"/>
    <cellStyle name="汇总 2 7 2" xfId="7854"/>
    <cellStyle name="汇总 2 8" xfId="7855"/>
    <cellStyle name="汇总 2 8 2" xfId="7856"/>
    <cellStyle name="汇总 2 9" xfId="7857"/>
    <cellStyle name="汇总 2 9 2" xfId="7858"/>
    <cellStyle name="汇总 3" xfId="1243"/>
    <cellStyle name="汇总 3 2" xfId="1889"/>
    <cellStyle name="汇总 3 2 2" xfId="1890"/>
    <cellStyle name="汇总 3 2 2 2" xfId="1891"/>
    <cellStyle name="汇总 3 2 2 2 2" xfId="7859"/>
    <cellStyle name="汇总 3 2 2 2 2 2" xfId="7860"/>
    <cellStyle name="汇总 3 2 2 2 3" xfId="7861"/>
    <cellStyle name="汇总 3 2 2 2 3 2" xfId="7862"/>
    <cellStyle name="汇总 3 2 2 2 4" xfId="7863"/>
    <cellStyle name="汇总 3 2 2 2 4 2" xfId="7864"/>
    <cellStyle name="汇总 3 2 2 2 5" xfId="7865"/>
    <cellStyle name="汇总 3 2 2 2 5 2" xfId="7866"/>
    <cellStyle name="汇总 3 2 2 2 6" xfId="7867"/>
    <cellStyle name="汇总 3 2 2 2 6 2" xfId="7868"/>
    <cellStyle name="汇总 3 2 2 3" xfId="7869"/>
    <cellStyle name="汇总 3 2 2 3 2" xfId="7870"/>
    <cellStyle name="汇总 3 2 2 4" xfId="7871"/>
    <cellStyle name="汇总 3 2 2 4 2" xfId="7872"/>
    <cellStyle name="汇总 3 2 2 5" xfId="7873"/>
    <cellStyle name="汇总 3 2 2 5 2" xfId="7874"/>
    <cellStyle name="汇总 3 2 2 6" xfId="7875"/>
    <cellStyle name="汇总 3 2 2 6 2" xfId="7876"/>
    <cellStyle name="汇总 3 2 2 7" xfId="7877"/>
    <cellStyle name="汇总 3 2 2 7 2" xfId="7878"/>
    <cellStyle name="汇总 3 2 3" xfId="1893"/>
    <cellStyle name="汇总 3 2 3 2" xfId="7879"/>
    <cellStyle name="汇总 3 2 3 2 2" xfId="7880"/>
    <cellStyle name="汇总 3 2 3 3" xfId="7881"/>
    <cellStyle name="汇总 3 2 3 3 2" xfId="7882"/>
    <cellStyle name="汇总 3 2 3 4" xfId="7883"/>
    <cellStyle name="汇总 3 2 3 4 2" xfId="7884"/>
    <cellStyle name="汇总 3 2 3 5" xfId="7885"/>
    <cellStyle name="汇总 3 2 3 5 2" xfId="7886"/>
    <cellStyle name="汇总 3 2 3 6" xfId="7887"/>
    <cellStyle name="汇总 3 2 3 6 2" xfId="7888"/>
    <cellStyle name="汇总 3 2 4" xfId="7889"/>
    <cellStyle name="汇总 3 2 4 2" xfId="7890"/>
    <cellStyle name="汇总 3 2 5" xfId="7891"/>
    <cellStyle name="汇总 3 2 5 2" xfId="7892"/>
    <cellStyle name="汇总 3 2 6" xfId="7893"/>
    <cellStyle name="汇总 3 2 6 2" xfId="7894"/>
    <cellStyle name="汇总 3 2 7" xfId="7895"/>
    <cellStyle name="汇总 3 2 7 2" xfId="7896"/>
    <cellStyle name="汇总 3 2 8" xfId="7897"/>
    <cellStyle name="汇总 3 2 8 2" xfId="7898"/>
    <cellStyle name="汇总 3 3" xfId="1894"/>
    <cellStyle name="汇总 3 3 2" xfId="1896"/>
    <cellStyle name="汇总 3 3 2 2" xfId="7899"/>
    <cellStyle name="汇总 3 3 2 2 2" xfId="7900"/>
    <cellStyle name="汇总 3 3 2 3" xfId="7901"/>
    <cellStyle name="汇总 3 3 2 3 2" xfId="7902"/>
    <cellStyle name="汇总 3 3 2 4" xfId="7903"/>
    <cellStyle name="汇总 3 3 2 4 2" xfId="7904"/>
    <cellStyle name="汇总 3 3 2 5" xfId="7905"/>
    <cellStyle name="汇总 3 3 2 5 2" xfId="7906"/>
    <cellStyle name="汇总 3 3 2 6" xfId="7907"/>
    <cellStyle name="汇总 3 3 2 6 2" xfId="7908"/>
    <cellStyle name="汇总 3 3 3" xfId="7909"/>
    <cellStyle name="汇总 3 3 3 2" xfId="7910"/>
    <cellStyle name="汇总 3 3 4" xfId="7911"/>
    <cellStyle name="汇总 3 3 4 2" xfId="7912"/>
    <cellStyle name="汇总 3 3 5" xfId="7913"/>
    <cellStyle name="汇总 3 3 5 2" xfId="7914"/>
    <cellStyle name="汇总 3 3 6" xfId="7915"/>
    <cellStyle name="汇总 3 3 6 2" xfId="7916"/>
    <cellStyle name="汇总 3 3 7" xfId="7917"/>
    <cellStyle name="汇总 3 3 7 2" xfId="7918"/>
    <cellStyle name="汇总 3 4" xfId="1897"/>
    <cellStyle name="汇总 3 4 2" xfId="7919"/>
    <cellStyle name="汇总 3 4 2 2" xfId="7920"/>
    <cellStyle name="汇总 3 4 3" xfId="7921"/>
    <cellStyle name="汇总 3 4 3 2" xfId="7922"/>
    <cellStyle name="汇总 3 4 4" xfId="7923"/>
    <cellStyle name="汇总 3 4 4 2" xfId="7924"/>
    <cellStyle name="汇总 3 4 5" xfId="7925"/>
    <cellStyle name="汇总 3 4 5 2" xfId="7926"/>
    <cellStyle name="汇总 3 4 6" xfId="7927"/>
    <cellStyle name="汇总 3 4 6 2" xfId="7928"/>
    <cellStyle name="汇总 3 5" xfId="7929"/>
    <cellStyle name="汇总 3 5 2" xfId="7930"/>
    <cellStyle name="汇总 3 6" xfId="7931"/>
    <cellStyle name="汇总 3 6 2" xfId="7932"/>
    <cellStyle name="汇总 3 7" xfId="7933"/>
    <cellStyle name="汇总 3 7 2" xfId="7934"/>
    <cellStyle name="汇总 3 8" xfId="7935"/>
    <cellStyle name="汇总 3 8 2" xfId="7936"/>
    <cellStyle name="汇总 3 9" xfId="7937"/>
    <cellStyle name="汇总 3 9 2" xfId="7938"/>
    <cellStyle name="汇总 4" xfId="1612"/>
    <cellStyle name="汇总 4 2" xfId="1898"/>
    <cellStyle name="汇总 4 2 2" xfId="1899"/>
    <cellStyle name="汇总 4 2 2 2" xfId="7939"/>
    <cellStyle name="汇总 4 2 2 2 2" xfId="7940"/>
    <cellStyle name="汇总 4 2 2 3" xfId="7941"/>
    <cellStyle name="汇总 4 2 2 3 2" xfId="7942"/>
    <cellStyle name="汇总 4 2 2 4" xfId="7943"/>
    <cellStyle name="汇总 4 2 2 4 2" xfId="7944"/>
    <cellStyle name="汇总 4 2 2 5" xfId="7945"/>
    <cellStyle name="汇总 4 2 2 5 2" xfId="7946"/>
    <cellStyle name="汇总 4 2 2 6" xfId="7947"/>
    <cellStyle name="汇总 4 2 2 6 2" xfId="7948"/>
    <cellStyle name="汇总 4 2 3" xfId="7949"/>
    <cellStyle name="汇总 4 2 3 2" xfId="7950"/>
    <cellStyle name="汇总 4 2 4" xfId="7951"/>
    <cellStyle name="汇总 4 2 4 2" xfId="7952"/>
    <cellStyle name="汇总 4 2 5" xfId="7953"/>
    <cellStyle name="汇总 4 2 5 2" xfId="7954"/>
    <cellStyle name="汇总 4 2 6" xfId="7955"/>
    <cellStyle name="汇总 4 2 6 2" xfId="7956"/>
    <cellStyle name="汇总 4 2 7" xfId="7957"/>
    <cellStyle name="汇总 4 2 7 2" xfId="7958"/>
    <cellStyle name="汇总 4 3" xfId="1900"/>
    <cellStyle name="汇总 4 3 2" xfId="7959"/>
    <cellStyle name="汇总 4 3 2 2" xfId="7960"/>
    <cellStyle name="汇总 4 3 3" xfId="7961"/>
    <cellStyle name="汇总 4 3 3 2" xfId="7962"/>
    <cellStyle name="汇总 4 3 4" xfId="7963"/>
    <cellStyle name="汇总 4 3 4 2" xfId="7964"/>
    <cellStyle name="汇总 4 3 5" xfId="7965"/>
    <cellStyle name="汇总 4 3 5 2" xfId="7966"/>
    <cellStyle name="汇总 4 3 6" xfId="7967"/>
    <cellStyle name="汇总 4 3 6 2" xfId="7968"/>
    <cellStyle name="汇总 4 4" xfId="7969"/>
    <cellStyle name="汇总 4 4 2" xfId="7970"/>
    <cellStyle name="汇总 4 5" xfId="7971"/>
    <cellStyle name="汇总 4 5 2" xfId="7972"/>
    <cellStyle name="汇总 4 6" xfId="7973"/>
    <cellStyle name="汇总 4 6 2" xfId="7974"/>
    <cellStyle name="汇总 4 7" xfId="7975"/>
    <cellStyle name="汇总 4 7 2" xfId="7976"/>
    <cellStyle name="汇总 4 8" xfId="7977"/>
    <cellStyle name="汇总 4 8 2" xfId="7978"/>
    <cellStyle name="汇总 5" xfId="590"/>
    <cellStyle name="汇总 5 2" xfId="593"/>
    <cellStyle name="汇总 5 2 2" xfId="20"/>
    <cellStyle name="汇总 5 2 2 2" xfId="7979"/>
    <cellStyle name="汇总 5 2 2 2 2" xfId="7980"/>
    <cellStyle name="汇总 5 2 2 3" xfId="7981"/>
    <cellStyle name="汇总 5 2 2 3 2" xfId="7982"/>
    <cellStyle name="汇总 5 2 2 4" xfId="7983"/>
    <cellStyle name="汇总 5 2 2 4 2" xfId="7984"/>
    <cellStyle name="汇总 5 2 2 5" xfId="7985"/>
    <cellStyle name="汇总 5 2 2 5 2" xfId="7986"/>
    <cellStyle name="汇总 5 2 2 6" xfId="7987"/>
    <cellStyle name="汇总 5 2 2 6 2" xfId="7988"/>
    <cellStyle name="汇总 5 2 3" xfId="7989"/>
    <cellStyle name="汇总 5 2 3 2" xfId="7990"/>
    <cellStyle name="汇总 5 2 4" xfId="7991"/>
    <cellStyle name="汇总 5 2 4 2" xfId="7992"/>
    <cellStyle name="汇总 5 2 5" xfId="7993"/>
    <cellStyle name="汇总 5 2 5 2" xfId="7994"/>
    <cellStyle name="汇总 5 2 6" xfId="7995"/>
    <cellStyle name="汇总 5 2 6 2" xfId="7996"/>
    <cellStyle name="汇总 5 2 7" xfId="7997"/>
    <cellStyle name="汇总 5 2 7 2" xfId="7998"/>
    <cellStyle name="汇总 5 3" xfId="1901"/>
    <cellStyle name="汇总 5 3 2" xfId="7999"/>
    <cellStyle name="汇总 5 3 2 2" xfId="8000"/>
    <cellStyle name="汇总 5 3 3" xfId="8001"/>
    <cellStyle name="汇总 5 3 3 2" xfId="8002"/>
    <cellStyle name="汇总 5 3 4" xfId="8003"/>
    <cellStyle name="汇总 5 3 4 2" xfId="8004"/>
    <cellStyle name="汇总 5 3 5" xfId="8005"/>
    <cellStyle name="汇总 5 3 5 2" xfId="8006"/>
    <cellStyle name="汇总 5 3 6" xfId="8007"/>
    <cellStyle name="汇总 5 3 6 2" xfId="8008"/>
    <cellStyle name="汇总 5 4" xfId="8009"/>
    <cellStyle name="汇总 5 4 2" xfId="8010"/>
    <cellStyle name="汇总 5 5" xfId="8011"/>
    <cellStyle name="汇总 5 5 2" xfId="8012"/>
    <cellStyle name="汇总 5 6" xfId="8013"/>
    <cellStyle name="汇总 5 6 2" xfId="8014"/>
    <cellStyle name="汇总 5 7" xfId="8015"/>
    <cellStyle name="汇总 5 7 2" xfId="8016"/>
    <cellStyle name="汇总 5 8" xfId="8017"/>
    <cellStyle name="汇总 5 8 2" xfId="8018"/>
    <cellStyle name="汇总 6" xfId="595"/>
    <cellStyle name="汇总 6 2" xfId="1505"/>
    <cellStyle name="汇总 6 2 2" xfId="8019"/>
    <cellStyle name="汇总 6 2 2 2" xfId="8020"/>
    <cellStyle name="汇总 6 2 3" xfId="8021"/>
    <cellStyle name="汇总 6 2 3 2" xfId="8022"/>
    <cellStyle name="汇总 6 2 4" xfId="8023"/>
    <cellStyle name="汇总 6 2 4 2" xfId="8024"/>
    <cellStyle name="汇总 6 2 5" xfId="8025"/>
    <cellStyle name="汇总 6 2 5 2" xfId="8026"/>
    <cellStyle name="汇总 6 2 6" xfId="8027"/>
    <cellStyle name="汇总 6 2 6 2" xfId="8028"/>
    <cellStyle name="汇总 6 3" xfId="8029"/>
    <cellStyle name="汇总 6 3 2" xfId="8030"/>
    <cellStyle name="汇总 6 4" xfId="8031"/>
    <cellStyle name="汇总 6 4 2" xfId="8032"/>
    <cellStyle name="汇总 6 5" xfId="8033"/>
    <cellStyle name="汇总 6 5 2" xfId="8034"/>
    <cellStyle name="汇总 6 6" xfId="8035"/>
    <cellStyle name="汇总 6 6 2" xfId="8036"/>
    <cellStyle name="汇总 6 7" xfId="8037"/>
    <cellStyle name="汇总 6 7 2" xfId="8038"/>
    <cellStyle name="汇总 7" xfId="1902"/>
    <cellStyle name="汇总 7 2" xfId="8039"/>
    <cellStyle name="汇总 7 2 2" xfId="8040"/>
    <cellStyle name="汇总 7 3" xfId="8041"/>
    <cellStyle name="汇总 7 3 2" xfId="8042"/>
    <cellStyle name="汇总 7 4" xfId="8043"/>
    <cellStyle name="汇总 7 4 2" xfId="8044"/>
    <cellStyle name="汇总 7 5" xfId="8045"/>
    <cellStyle name="汇总 7 5 2" xfId="8046"/>
    <cellStyle name="汇总 7 6" xfId="8047"/>
    <cellStyle name="汇总 7 6 2" xfId="8048"/>
    <cellStyle name="汇总 8" xfId="8049"/>
    <cellStyle name="汇总 8 2" xfId="8050"/>
    <cellStyle name="货币 2" xfId="1903"/>
    <cellStyle name="货币 2 10" xfId="1904"/>
    <cellStyle name="货币 2 10 2" xfId="4407"/>
    <cellStyle name="货币 2 10 2 2" xfId="8051"/>
    <cellStyle name="货币 2 10 2 3" xfId="8052"/>
    <cellStyle name="货币 2 10 2 3 2" xfId="8053"/>
    <cellStyle name="货币 2 10 3" xfId="8054"/>
    <cellStyle name="货币 2 11" xfId="4406"/>
    <cellStyle name="货币 2 11 2" xfId="8055"/>
    <cellStyle name="货币 2 11 3" xfId="8056"/>
    <cellStyle name="货币 2 11 3 2" xfId="8057"/>
    <cellStyle name="货币 2 12" xfId="8058"/>
    <cellStyle name="货币 2 2" xfId="1905"/>
    <cellStyle name="货币 2 2 10" xfId="4408"/>
    <cellStyle name="货币 2 2 10 2" xfId="8059"/>
    <cellStyle name="货币 2 2 10 3" xfId="8060"/>
    <cellStyle name="货币 2 2 10 3 2" xfId="8061"/>
    <cellStyle name="货币 2 2 11" xfId="8062"/>
    <cellStyle name="货币 2 2 2" xfId="1906"/>
    <cellStyle name="货币 2 2 2 2" xfId="1907"/>
    <cellStyle name="货币 2 2 2 2 2" xfId="1908"/>
    <cellStyle name="货币 2 2 2 2 2 2" xfId="4411"/>
    <cellStyle name="货币 2 2 2 2 2 2 2" xfId="8063"/>
    <cellStyle name="货币 2 2 2 2 2 2 3" xfId="8064"/>
    <cellStyle name="货币 2 2 2 2 2 2 3 2" xfId="8065"/>
    <cellStyle name="货币 2 2 2 2 2 3" xfId="8066"/>
    <cellStyle name="货币 2 2 2 2 3" xfId="1909"/>
    <cellStyle name="货币 2 2 2 2 3 2" xfId="4412"/>
    <cellStyle name="货币 2 2 2 2 3 2 2" xfId="8067"/>
    <cellStyle name="货币 2 2 2 2 3 2 3" xfId="8068"/>
    <cellStyle name="货币 2 2 2 2 3 2 3 2" xfId="8069"/>
    <cellStyle name="货币 2 2 2 2 3 3" xfId="8070"/>
    <cellStyle name="货币 2 2 2 2 4" xfId="1910"/>
    <cellStyle name="货币 2 2 2 2 4 2" xfId="4413"/>
    <cellStyle name="货币 2 2 2 2 4 2 2" xfId="8071"/>
    <cellStyle name="货币 2 2 2 2 4 2 3" xfId="8072"/>
    <cellStyle name="货币 2 2 2 2 4 2 3 2" xfId="8073"/>
    <cellStyle name="货币 2 2 2 2 4 3" xfId="8074"/>
    <cellStyle name="货币 2 2 2 2 5" xfId="4410"/>
    <cellStyle name="货币 2 2 2 2 5 2" xfId="8075"/>
    <cellStyle name="货币 2 2 2 2 5 3" xfId="8076"/>
    <cellStyle name="货币 2 2 2 2 5 3 2" xfId="8077"/>
    <cellStyle name="货币 2 2 2 2 6" xfId="8078"/>
    <cellStyle name="货币 2 2 2 3" xfId="1878"/>
    <cellStyle name="货币 2 2 2 3 2" xfId="1880"/>
    <cellStyle name="货币 2 2 2 3 2 2" xfId="4415"/>
    <cellStyle name="货币 2 2 2 3 2 2 2" xfId="8079"/>
    <cellStyle name="货币 2 2 2 3 2 2 3" xfId="8080"/>
    <cellStyle name="货币 2 2 2 3 2 2 3 2" xfId="8081"/>
    <cellStyle name="货币 2 2 2 3 2 3" xfId="8082"/>
    <cellStyle name="货币 2 2 2 3 3" xfId="1911"/>
    <cellStyle name="货币 2 2 2 3 3 2" xfId="4416"/>
    <cellStyle name="货币 2 2 2 3 3 2 2" xfId="8083"/>
    <cellStyle name="货币 2 2 2 3 3 2 3" xfId="8084"/>
    <cellStyle name="货币 2 2 2 3 3 2 3 2" xfId="8085"/>
    <cellStyle name="货币 2 2 2 3 3 3" xfId="8086"/>
    <cellStyle name="货币 2 2 2 3 4" xfId="4414"/>
    <cellStyle name="货币 2 2 2 3 4 2" xfId="8087"/>
    <cellStyle name="货币 2 2 2 3 4 3" xfId="8088"/>
    <cellStyle name="货币 2 2 2 3 4 3 2" xfId="8089"/>
    <cellStyle name="货币 2 2 2 3 5" xfId="8090"/>
    <cellStyle name="货币 2 2 2 4" xfId="1883"/>
    <cellStyle name="货币 2 2 2 4 2" xfId="1912"/>
    <cellStyle name="货币 2 2 2 4 2 2" xfId="4418"/>
    <cellStyle name="货币 2 2 2 4 2 2 2" xfId="8091"/>
    <cellStyle name="货币 2 2 2 4 2 2 3" xfId="8092"/>
    <cellStyle name="货币 2 2 2 4 2 2 3 2" xfId="8093"/>
    <cellStyle name="货币 2 2 2 4 2 3" xfId="8094"/>
    <cellStyle name="货币 2 2 2 4 3" xfId="1913"/>
    <cellStyle name="货币 2 2 2 4 3 2" xfId="4419"/>
    <cellStyle name="货币 2 2 2 4 3 2 2" xfId="8095"/>
    <cellStyle name="货币 2 2 2 4 3 2 3" xfId="8096"/>
    <cellStyle name="货币 2 2 2 4 3 2 3 2" xfId="8097"/>
    <cellStyle name="货币 2 2 2 4 3 3" xfId="8098"/>
    <cellStyle name="货币 2 2 2 4 4" xfId="1914"/>
    <cellStyle name="货币 2 2 2 4 4 2" xfId="4420"/>
    <cellStyle name="货币 2 2 2 4 4 2 2" xfId="8099"/>
    <cellStyle name="货币 2 2 2 4 4 2 3" xfId="8100"/>
    <cellStyle name="货币 2 2 2 4 4 2 3 2" xfId="8101"/>
    <cellStyle name="货币 2 2 2 4 4 3" xfId="8102"/>
    <cellStyle name="货币 2 2 2 4 5" xfId="4417"/>
    <cellStyle name="货币 2 2 2 4 5 2" xfId="8103"/>
    <cellStyle name="货币 2 2 2 4 5 3" xfId="8104"/>
    <cellStyle name="货币 2 2 2 4 5 3 2" xfId="8105"/>
    <cellStyle name="货币 2 2 2 4 6" xfId="8106"/>
    <cellStyle name="货币 2 2 2 5" xfId="1915"/>
    <cellStyle name="货币 2 2 2 5 2" xfId="4421"/>
    <cellStyle name="货币 2 2 2 5 2 2" xfId="8107"/>
    <cellStyle name="货币 2 2 2 5 2 3" xfId="8108"/>
    <cellStyle name="货币 2 2 2 5 2 3 2" xfId="8109"/>
    <cellStyle name="货币 2 2 2 5 3" xfId="8110"/>
    <cellStyle name="货币 2 2 2 6" xfId="1917"/>
    <cellStyle name="货币 2 2 2 6 2" xfId="4422"/>
    <cellStyle name="货币 2 2 2 6 2 2" xfId="8111"/>
    <cellStyle name="货币 2 2 2 6 2 3" xfId="8112"/>
    <cellStyle name="货币 2 2 2 6 2 3 2" xfId="8113"/>
    <cellStyle name="货币 2 2 2 6 3" xfId="8114"/>
    <cellStyle name="货币 2 2 2 7" xfId="1919"/>
    <cellStyle name="货币 2 2 2 7 2" xfId="4423"/>
    <cellStyle name="货币 2 2 2 7 2 2" xfId="8115"/>
    <cellStyle name="货币 2 2 2 7 2 3" xfId="8116"/>
    <cellStyle name="货币 2 2 2 7 2 3 2" xfId="8117"/>
    <cellStyle name="货币 2 2 2 7 3" xfId="8118"/>
    <cellStyle name="货币 2 2 2 8" xfId="4409"/>
    <cellStyle name="货币 2 2 2 8 2" xfId="8119"/>
    <cellStyle name="货币 2 2 2 8 3" xfId="8120"/>
    <cellStyle name="货币 2 2 2 8 3 2" xfId="8121"/>
    <cellStyle name="货币 2 2 2 9" xfId="8122"/>
    <cellStyle name="货币 2 2 3" xfId="1921"/>
    <cellStyle name="货币 2 2 3 2" xfId="1923"/>
    <cellStyle name="货币 2 2 3 2 2" xfId="4425"/>
    <cellStyle name="货币 2 2 3 2 2 2" xfId="8123"/>
    <cellStyle name="货币 2 2 3 2 2 3" xfId="8124"/>
    <cellStyle name="货币 2 2 3 2 2 3 2" xfId="8125"/>
    <cellStyle name="货币 2 2 3 2 3" xfId="8126"/>
    <cellStyle name="货币 2 2 3 3" xfId="1886"/>
    <cellStyle name="货币 2 2 3 3 2" xfId="4426"/>
    <cellStyle name="货币 2 2 3 3 2 2" xfId="8127"/>
    <cellStyle name="货币 2 2 3 3 2 3" xfId="8128"/>
    <cellStyle name="货币 2 2 3 3 2 3 2" xfId="8129"/>
    <cellStyle name="货币 2 2 3 3 3" xfId="8130"/>
    <cellStyle name="货币 2 2 3 4" xfId="1924"/>
    <cellStyle name="货币 2 2 3 4 2" xfId="4427"/>
    <cellStyle name="货币 2 2 3 4 2 2" xfId="8131"/>
    <cellStyle name="货币 2 2 3 4 2 3" xfId="8132"/>
    <cellStyle name="货币 2 2 3 4 2 3 2" xfId="8133"/>
    <cellStyle name="货币 2 2 3 4 3" xfId="8134"/>
    <cellStyle name="货币 2 2 3 5" xfId="4424"/>
    <cellStyle name="货币 2 2 3 5 2" xfId="8135"/>
    <cellStyle name="货币 2 2 3 5 3" xfId="8136"/>
    <cellStyle name="货币 2 2 3 5 3 2" xfId="8137"/>
    <cellStyle name="货币 2 2 3 6" xfId="8138"/>
    <cellStyle name="货币 2 2 4" xfId="1926"/>
    <cellStyle name="货币 2 2 4 2" xfId="1928"/>
    <cellStyle name="货币 2 2 4 2 2" xfId="4429"/>
    <cellStyle name="货币 2 2 4 2 2 2" xfId="8139"/>
    <cellStyle name="货币 2 2 4 2 2 3" xfId="8140"/>
    <cellStyle name="货币 2 2 4 2 2 3 2" xfId="8141"/>
    <cellStyle name="货币 2 2 4 2 3" xfId="8142"/>
    <cellStyle name="货币 2 2 4 3" xfId="1929"/>
    <cellStyle name="货币 2 2 4 3 2" xfId="4430"/>
    <cellStyle name="货币 2 2 4 3 2 2" xfId="8143"/>
    <cellStyle name="货币 2 2 4 3 2 3" xfId="8144"/>
    <cellStyle name="货币 2 2 4 3 2 3 2" xfId="8145"/>
    <cellStyle name="货币 2 2 4 3 3" xfId="8146"/>
    <cellStyle name="货币 2 2 4 4" xfId="1930"/>
    <cellStyle name="货币 2 2 4 4 2" xfId="4431"/>
    <cellStyle name="货币 2 2 4 4 2 2" xfId="8147"/>
    <cellStyle name="货币 2 2 4 4 2 3" xfId="8148"/>
    <cellStyle name="货币 2 2 4 4 2 3 2" xfId="8149"/>
    <cellStyle name="货币 2 2 4 4 3" xfId="8150"/>
    <cellStyle name="货币 2 2 4 5" xfId="4428"/>
    <cellStyle name="货币 2 2 4 5 2" xfId="8151"/>
    <cellStyle name="货币 2 2 4 5 3" xfId="8152"/>
    <cellStyle name="货币 2 2 4 5 3 2" xfId="8153"/>
    <cellStyle name="货币 2 2 4 6" xfId="8154"/>
    <cellStyle name="货币 2 2 5" xfId="1834"/>
    <cellStyle name="货币 2 2 5 2" xfId="916"/>
    <cellStyle name="货币 2 2 5 2 2" xfId="4433"/>
    <cellStyle name="货币 2 2 5 2 2 2" xfId="8155"/>
    <cellStyle name="货币 2 2 5 2 2 3" xfId="8156"/>
    <cellStyle name="货币 2 2 5 2 2 3 2" xfId="8157"/>
    <cellStyle name="货币 2 2 5 2 3" xfId="8158"/>
    <cellStyle name="货币 2 2 5 3" xfId="920"/>
    <cellStyle name="货币 2 2 5 3 2" xfId="4434"/>
    <cellStyle name="货币 2 2 5 3 2 2" xfId="8159"/>
    <cellStyle name="货币 2 2 5 3 2 3" xfId="8160"/>
    <cellStyle name="货币 2 2 5 3 2 3 2" xfId="8161"/>
    <cellStyle name="货币 2 2 5 3 3" xfId="8162"/>
    <cellStyle name="货币 2 2 5 4" xfId="4432"/>
    <cellStyle name="货币 2 2 5 4 2" xfId="8163"/>
    <cellStyle name="货币 2 2 5 4 3" xfId="8164"/>
    <cellStyle name="货币 2 2 5 4 3 2" xfId="8165"/>
    <cellStyle name="货币 2 2 5 5" xfId="8166"/>
    <cellStyle name="货币 2 2 6" xfId="1931"/>
    <cellStyle name="货币 2 2 6 2" xfId="933"/>
    <cellStyle name="货币 2 2 6 2 2" xfId="4436"/>
    <cellStyle name="货币 2 2 6 2 2 2" xfId="8167"/>
    <cellStyle name="货币 2 2 6 2 2 3" xfId="8168"/>
    <cellStyle name="货币 2 2 6 2 2 3 2" xfId="8169"/>
    <cellStyle name="货币 2 2 6 2 3" xfId="8170"/>
    <cellStyle name="货币 2 2 6 3" xfId="1932"/>
    <cellStyle name="货币 2 2 6 3 2" xfId="4437"/>
    <cellStyle name="货币 2 2 6 3 2 2" xfId="8171"/>
    <cellStyle name="货币 2 2 6 3 2 3" xfId="8172"/>
    <cellStyle name="货币 2 2 6 3 2 3 2" xfId="8173"/>
    <cellStyle name="货币 2 2 6 3 3" xfId="8174"/>
    <cellStyle name="货币 2 2 6 4" xfId="1933"/>
    <cellStyle name="货币 2 2 6 4 2" xfId="4438"/>
    <cellStyle name="货币 2 2 6 4 2 2" xfId="8175"/>
    <cellStyle name="货币 2 2 6 4 2 3" xfId="8176"/>
    <cellStyle name="货币 2 2 6 4 2 3 2" xfId="8177"/>
    <cellStyle name="货币 2 2 6 4 3" xfId="8178"/>
    <cellStyle name="货币 2 2 6 5" xfId="4435"/>
    <cellStyle name="货币 2 2 6 5 2" xfId="8179"/>
    <cellStyle name="货币 2 2 6 5 3" xfId="8180"/>
    <cellStyle name="货币 2 2 6 5 3 2" xfId="8181"/>
    <cellStyle name="货币 2 2 6 6" xfId="8182"/>
    <cellStyle name="货币 2 2 7" xfId="1934"/>
    <cellStyle name="货币 2 2 7 2" xfId="4439"/>
    <cellStyle name="货币 2 2 7 2 2" xfId="8183"/>
    <cellStyle name="货币 2 2 7 2 3" xfId="8184"/>
    <cellStyle name="货币 2 2 7 2 3 2" xfId="8185"/>
    <cellStyle name="货币 2 2 7 3" xfId="8186"/>
    <cellStyle name="货币 2 2 8" xfId="1935"/>
    <cellStyle name="货币 2 2 8 2" xfId="4440"/>
    <cellStyle name="货币 2 2 8 2 2" xfId="8187"/>
    <cellStyle name="货币 2 2 8 2 3" xfId="8188"/>
    <cellStyle name="货币 2 2 8 2 3 2" xfId="8189"/>
    <cellStyle name="货币 2 2 8 3" xfId="8190"/>
    <cellStyle name="货币 2 2 9" xfId="1554"/>
    <cellStyle name="货币 2 2 9 2" xfId="4441"/>
    <cellStyle name="货币 2 2 9 2 2" xfId="8191"/>
    <cellStyle name="货币 2 2 9 2 3" xfId="8192"/>
    <cellStyle name="货币 2 2 9 2 3 2" xfId="8193"/>
    <cellStyle name="货币 2 2 9 3" xfId="8194"/>
    <cellStyle name="货币 2 3" xfId="1936"/>
    <cellStyle name="货币 2 3 2" xfId="1937"/>
    <cellStyle name="货币 2 3 2 2" xfId="1509"/>
    <cellStyle name="货币 2 3 2 2 2" xfId="4444"/>
    <cellStyle name="货币 2 3 2 2 2 2" xfId="8195"/>
    <cellStyle name="货币 2 3 2 2 2 3" xfId="8196"/>
    <cellStyle name="货币 2 3 2 2 2 3 2" xfId="8197"/>
    <cellStyle name="货币 2 3 2 2 3" xfId="8198"/>
    <cellStyle name="货币 2 3 2 3" xfId="1895"/>
    <cellStyle name="货币 2 3 2 3 2" xfId="4445"/>
    <cellStyle name="货币 2 3 2 3 2 2" xfId="8199"/>
    <cellStyle name="货币 2 3 2 3 2 3" xfId="8200"/>
    <cellStyle name="货币 2 3 2 3 2 3 2" xfId="8201"/>
    <cellStyle name="货币 2 3 2 3 3" xfId="8202"/>
    <cellStyle name="货币 2 3 2 4" xfId="1939"/>
    <cellStyle name="货币 2 3 2 4 2" xfId="4446"/>
    <cellStyle name="货币 2 3 2 4 2 2" xfId="8203"/>
    <cellStyle name="货币 2 3 2 4 2 3" xfId="8204"/>
    <cellStyle name="货币 2 3 2 4 2 3 2" xfId="8205"/>
    <cellStyle name="货币 2 3 2 4 3" xfId="8206"/>
    <cellStyle name="货币 2 3 2 5" xfId="4443"/>
    <cellStyle name="货币 2 3 2 5 2" xfId="8207"/>
    <cellStyle name="货币 2 3 2 5 3" xfId="8208"/>
    <cellStyle name="货币 2 3 2 5 3 2" xfId="8209"/>
    <cellStyle name="货币 2 3 2 6" xfId="8210"/>
    <cellStyle name="货币 2 3 3" xfId="1941"/>
    <cellStyle name="货币 2 3 3 2" xfId="149"/>
    <cellStyle name="货币 2 3 3 2 2" xfId="4448"/>
    <cellStyle name="货币 2 3 3 2 2 2" xfId="8211"/>
    <cellStyle name="货币 2 3 3 2 2 3" xfId="8212"/>
    <cellStyle name="货币 2 3 3 2 2 3 2" xfId="8213"/>
    <cellStyle name="货币 2 3 3 2 3" xfId="8214"/>
    <cellStyle name="货币 2 3 3 3" xfId="14"/>
    <cellStyle name="货币 2 3 3 3 2" xfId="4449"/>
    <cellStyle name="货币 2 3 3 3 2 2" xfId="8215"/>
    <cellStyle name="货币 2 3 3 3 2 3" xfId="8216"/>
    <cellStyle name="货币 2 3 3 3 2 3 2" xfId="8217"/>
    <cellStyle name="货币 2 3 3 3 3" xfId="8218"/>
    <cellStyle name="货币 2 3 3 4" xfId="4447"/>
    <cellStyle name="货币 2 3 3 4 2" xfId="8219"/>
    <cellStyle name="货币 2 3 3 4 3" xfId="8220"/>
    <cellStyle name="货币 2 3 3 4 3 2" xfId="8221"/>
    <cellStyle name="货币 2 3 3 5" xfId="8222"/>
    <cellStyle name="货币 2 3 4" xfId="1943"/>
    <cellStyle name="货币 2 3 4 2" xfId="213"/>
    <cellStyle name="货币 2 3 4 2 2" xfId="4451"/>
    <cellStyle name="货币 2 3 4 2 2 2" xfId="8223"/>
    <cellStyle name="货币 2 3 4 2 2 3" xfId="8224"/>
    <cellStyle name="货币 2 3 4 2 2 3 2" xfId="8225"/>
    <cellStyle name="货币 2 3 4 2 3" xfId="8226"/>
    <cellStyle name="货币 2 3 4 3" xfId="218"/>
    <cellStyle name="货币 2 3 4 3 2" xfId="4452"/>
    <cellStyle name="货币 2 3 4 3 2 2" xfId="8227"/>
    <cellStyle name="货币 2 3 4 3 2 3" xfId="8228"/>
    <cellStyle name="货币 2 3 4 3 2 3 2" xfId="8229"/>
    <cellStyle name="货币 2 3 4 3 3" xfId="8230"/>
    <cellStyle name="货币 2 3 4 4" xfId="223"/>
    <cellStyle name="货币 2 3 4 4 2" xfId="4453"/>
    <cellStyle name="货币 2 3 4 4 2 2" xfId="8231"/>
    <cellStyle name="货币 2 3 4 4 2 3" xfId="8232"/>
    <cellStyle name="货币 2 3 4 4 2 3 2" xfId="8233"/>
    <cellStyle name="货币 2 3 4 4 3" xfId="8234"/>
    <cellStyle name="货币 2 3 4 5" xfId="4450"/>
    <cellStyle name="货币 2 3 4 5 2" xfId="8235"/>
    <cellStyle name="货币 2 3 4 5 3" xfId="8236"/>
    <cellStyle name="货币 2 3 4 5 3 2" xfId="8237"/>
    <cellStyle name="货币 2 3 4 6" xfId="8238"/>
    <cellStyle name="货币 2 3 5" xfId="1945"/>
    <cellStyle name="货币 2 3 5 2" xfId="4454"/>
    <cellStyle name="货币 2 3 5 2 2" xfId="8239"/>
    <cellStyle name="货币 2 3 5 2 3" xfId="8240"/>
    <cellStyle name="货币 2 3 5 2 3 2" xfId="8241"/>
    <cellStyle name="货币 2 3 5 3" xfId="8242"/>
    <cellStyle name="货币 2 3 6" xfId="1946"/>
    <cellStyle name="货币 2 3 6 2" xfId="4455"/>
    <cellStyle name="货币 2 3 6 2 2" xfId="8243"/>
    <cellStyle name="货币 2 3 6 2 3" xfId="8244"/>
    <cellStyle name="货币 2 3 6 2 3 2" xfId="8245"/>
    <cellStyle name="货币 2 3 6 3" xfId="8246"/>
    <cellStyle name="货币 2 3 7" xfId="1947"/>
    <cellStyle name="货币 2 3 7 2" xfId="4456"/>
    <cellStyle name="货币 2 3 7 2 2" xfId="8247"/>
    <cellStyle name="货币 2 3 7 2 3" xfId="8248"/>
    <cellStyle name="货币 2 3 7 2 3 2" xfId="8249"/>
    <cellStyle name="货币 2 3 7 3" xfId="8250"/>
    <cellStyle name="货币 2 3 8" xfId="4442"/>
    <cellStyle name="货币 2 3 8 2" xfId="8251"/>
    <cellStyle name="货币 2 3 8 3" xfId="8252"/>
    <cellStyle name="货币 2 3 8 3 2" xfId="8253"/>
    <cellStyle name="货币 2 3 9" xfId="8254"/>
    <cellStyle name="货币 2 4" xfId="1948"/>
    <cellStyle name="货币 2 4 2" xfId="1949"/>
    <cellStyle name="货币 2 4 2 2" xfId="4458"/>
    <cellStyle name="货币 2 4 2 2 2" xfId="8255"/>
    <cellStyle name="货币 2 4 2 2 3" xfId="8256"/>
    <cellStyle name="货币 2 4 2 2 3 2" xfId="8257"/>
    <cellStyle name="货币 2 4 2 3" xfId="8258"/>
    <cellStyle name="货币 2 4 3" xfId="1951"/>
    <cellStyle name="货币 2 4 3 2" xfId="4459"/>
    <cellStyle name="货币 2 4 3 2 2" xfId="8259"/>
    <cellStyle name="货币 2 4 3 2 3" xfId="8260"/>
    <cellStyle name="货币 2 4 3 2 3 2" xfId="8261"/>
    <cellStyle name="货币 2 4 3 3" xfId="8262"/>
    <cellStyle name="货币 2 4 4" xfId="1953"/>
    <cellStyle name="货币 2 4 4 2" xfId="4460"/>
    <cellStyle name="货币 2 4 4 2 2" xfId="8263"/>
    <cellStyle name="货币 2 4 4 2 3" xfId="8264"/>
    <cellStyle name="货币 2 4 4 2 3 2" xfId="8265"/>
    <cellStyle name="货币 2 4 4 3" xfId="8266"/>
    <cellStyle name="货币 2 4 5" xfId="4457"/>
    <cellStyle name="货币 2 4 5 2" xfId="8267"/>
    <cellStyle name="货币 2 4 5 3" xfId="8268"/>
    <cellStyle name="货币 2 4 5 3 2" xfId="8269"/>
    <cellStyle name="货币 2 4 6" xfId="8270"/>
    <cellStyle name="货币 2 5" xfId="1954"/>
    <cellStyle name="货币 2 5 2" xfId="1955"/>
    <cellStyle name="货币 2 5 2 2" xfId="4462"/>
    <cellStyle name="货币 2 5 2 2 2" xfId="8271"/>
    <cellStyle name="货币 2 5 2 2 3" xfId="8272"/>
    <cellStyle name="货币 2 5 2 2 3 2" xfId="8273"/>
    <cellStyle name="货币 2 5 2 3" xfId="8274"/>
    <cellStyle name="货币 2 5 3" xfId="1957"/>
    <cellStyle name="货币 2 5 3 2" xfId="4463"/>
    <cellStyle name="货币 2 5 3 2 2" xfId="8275"/>
    <cellStyle name="货币 2 5 3 2 3" xfId="8276"/>
    <cellStyle name="货币 2 5 3 2 3 2" xfId="8277"/>
    <cellStyle name="货币 2 5 3 3" xfId="8278"/>
    <cellStyle name="货币 2 5 4" xfId="1959"/>
    <cellStyle name="货币 2 5 4 2" xfId="4464"/>
    <cellStyle name="货币 2 5 4 2 2" xfId="8279"/>
    <cellStyle name="货币 2 5 4 2 3" xfId="8280"/>
    <cellStyle name="货币 2 5 4 2 3 2" xfId="8281"/>
    <cellStyle name="货币 2 5 4 3" xfId="8282"/>
    <cellStyle name="货币 2 5 5" xfId="4461"/>
    <cellStyle name="货币 2 5 5 2" xfId="8283"/>
    <cellStyle name="货币 2 5 5 3" xfId="8284"/>
    <cellStyle name="货币 2 5 5 3 2" xfId="8285"/>
    <cellStyle name="货币 2 5 6" xfId="8286"/>
    <cellStyle name="货币 2 6" xfId="1336"/>
    <cellStyle name="货币 2 6 2" xfId="1338"/>
    <cellStyle name="货币 2 6 2 2" xfId="4466"/>
    <cellStyle name="货币 2 6 2 2 2" xfId="8287"/>
    <cellStyle name="货币 2 6 2 2 3" xfId="8288"/>
    <cellStyle name="货币 2 6 2 2 3 2" xfId="8289"/>
    <cellStyle name="货币 2 6 2 3" xfId="8290"/>
    <cellStyle name="货币 2 6 3" xfId="1961"/>
    <cellStyle name="货币 2 6 3 2" xfId="4467"/>
    <cellStyle name="货币 2 6 3 2 2" xfId="8291"/>
    <cellStyle name="货币 2 6 3 2 3" xfId="8292"/>
    <cellStyle name="货币 2 6 3 2 3 2" xfId="8293"/>
    <cellStyle name="货币 2 6 3 3" xfId="8294"/>
    <cellStyle name="货币 2 6 4" xfId="4465"/>
    <cellStyle name="货币 2 6 4 2" xfId="8295"/>
    <cellStyle name="货币 2 6 4 3" xfId="8296"/>
    <cellStyle name="货币 2 6 4 3 2" xfId="8297"/>
    <cellStyle name="货币 2 6 5" xfId="8298"/>
    <cellStyle name="货币 2 7" xfId="1340"/>
    <cellStyle name="货币 2 7 2" xfId="17"/>
    <cellStyle name="货币 2 7 2 2" xfId="4469"/>
    <cellStyle name="货币 2 7 2 2 2" xfId="8299"/>
    <cellStyle name="货币 2 7 2 2 3" xfId="8300"/>
    <cellStyle name="货币 2 7 2 2 3 2" xfId="8301"/>
    <cellStyle name="货币 2 7 2 3" xfId="8302"/>
    <cellStyle name="货币 2 7 3" xfId="116"/>
    <cellStyle name="货币 2 7 3 2" xfId="4470"/>
    <cellStyle name="货币 2 7 3 2 2" xfId="8303"/>
    <cellStyle name="货币 2 7 3 2 3" xfId="8304"/>
    <cellStyle name="货币 2 7 3 2 3 2" xfId="8305"/>
    <cellStyle name="货币 2 7 3 3" xfId="8306"/>
    <cellStyle name="货币 2 7 4" xfId="1827"/>
    <cellStyle name="货币 2 7 4 2" xfId="4471"/>
    <cellStyle name="货币 2 7 4 2 2" xfId="8307"/>
    <cellStyle name="货币 2 7 4 2 3" xfId="8308"/>
    <cellStyle name="货币 2 7 4 2 3 2" xfId="8309"/>
    <cellStyle name="货币 2 7 4 3" xfId="8310"/>
    <cellStyle name="货币 2 7 5" xfId="4468"/>
    <cellStyle name="货币 2 7 5 2" xfId="8311"/>
    <cellStyle name="货币 2 7 5 3" xfId="8312"/>
    <cellStyle name="货币 2 7 5 3 2" xfId="8313"/>
    <cellStyle name="货币 2 7 6" xfId="8314"/>
    <cellStyle name="货币 2 8" xfId="1962"/>
    <cellStyle name="货币 2 8 2" xfId="4472"/>
    <cellStyle name="货币 2 8 2 2" xfId="8315"/>
    <cellStyle name="货币 2 8 2 3" xfId="8316"/>
    <cellStyle name="货币 2 8 2 3 2" xfId="8317"/>
    <cellStyle name="货币 2 8 3" xfId="8318"/>
    <cellStyle name="货币 2 9" xfId="1963"/>
    <cellStyle name="货币 2 9 2" xfId="4473"/>
    <cellStyle name="货币 2 9 2 2" xfId="8319"/>
    <cellStyle name="货币 2 9 2 3" xfId="8320"/>
    <cellStyle name="货币 2 9 2 3 2" xfId="8321"/>
    <cellStyle name="货币 2 9 3" xfId="8322"/>
    <cellStyle name="货币 3" xfId="1964"/>
    <cellStyle name="货币 3 10" xfId="4474"/>
    <cellStyle name="货币 3 10 2" xfId="8323"/>
    <cellStyle name="货币 3 10 3" xfId="8324"/>
    <cellStyle name="货币 3 10 3 2" xfId="8325"/>
    <cellStyle name="货币 3 11" xfId="8326"/>
    <cellStyle name="货币 3 2" xfId="1965"/>
    <cellStyle name="货币 3 2 2" xfId="1966"/>
    <cellStyle name="货币 3 2 2 2" xfId="1967"/>
    <cellStyle name="货币 3 2 2 2 2" xfId="4477"/>
    <cellStyle name="货币 3 2 2 2 2 2" xfId="8327"/>
    <cellStyle name="货币 3 2 2 2 2 3" xfId="8328"/>
    <cellStyle name="货币 3 2 2 2 2 3 2" xfId="8329"/>
    <cellStyle name="货币 3 2 2 2 3" xfId="8330"/>
    <cellStyle name="货币 3 2 2 3" xfId="1968"/>
    <cellStyle name="货币 3 2 2 3 2" xfId="4478"/>
    <cellStyle name="货币 3 2 2 3 2 2" xfId="8331"/>
    <cellStyle name="货币 3 2 2 3 2 3" xfId="8332"/>
    <cellStyle name="货币 3 2 2 3 2 3 2" xfId="8333"/>
    <cellStyle name="货币 3 2 2 3 3" xfId="8334"/>
    <cellStyle name="货币 3 2 2 4" xfId="1969"/>
    <cellStyle name="货币 3 2 2 4 2" xfId="4479"/>
    <cellStyle name="货币 3 2 2 4 2 2" xfId="8335"/>
    <cellStyle name="货币 3 2 2 4 2 3" xfId="8336"/>
    <cellStyle name="货币 3 2 2 4 2 3 2" xfId="8337"/>
    <cellStyle name="货币 3 2 2 4 3" xfId="8338"/>
    <cellStyle name="货币 3 2 2 5" xfId="4476"/>
    <cellStyle name="货币 3 2 2 5 2" xfId="8339"/>
    <cellStyle name="货币 3 2 2 5 3" xfId="8340"/>
    <cellStyle name="货币 3 2 2 5 3 2" xfId="8341"/>
    <cellStyle name="货币 3 2 2 6" xfId="8342"/>
    <cellStyle name="货币 3 2 3" xfId="1970"/>
    <cellStyle name="货币 3 2 3 2" xfId="1971"/>
    <cellStyle name="货币 3 2 3 2 2" xfId="4481"/>
    <cellStyle name="货币 3 2 3 2 2 2" xfId="8343"/>
    <cellStyle name="货币 3 2 3 2 2 3" xfId="8344"/>
    <cellStyle name="货币 3 2 3 2 2 3 2" xfId="8345"/>
    <cellStyle name="货币 3 2 3 2 3" xfId="8346"/>
    <cellStyle name="货币 3 2 3 3" xfId="1972"/>
    <cellStyle name="货币 3 2 3 3 2" xfId="4482"/>
    <cellStyle name="货币 3 2 3 3 2 2" xfId="8347"/>
    <cellStyle name="货币 3 2 3 3 2 3" xfId="8348"/>
    <cellStyle name="货币 3 2 3 3 2 3 2" xfId="8349"/>
    <cellStyle name="货币 3 2 3 3 3" xfId="8350"/>
    <cellStyle name="货币 3 2 3 4" xfId="4480"/>
    <cellStyle name="货币 3 2 3 4 2" xfId="8351"/>
    <cellStyle name="货币 3 2 3 4 3" xfId="8352"/>
    <cellStyle name="货币 3 2 3 4 3 2" xfId="8353"/>
    <cellStyle name="货币 3 2 3 5" xfId="8354"/>
    <cellStyle name="货币 3 2 4" xfId="1973"/>
    <cellStyle name="货币 3 2 4 2" xfId="1974"/>
    <cellStyle name="货币 3 2 4 2 2" xfId="4484"/>
    <cellStyle name="货币 3 2 4 2 2 2" xfId="8355"/>
    <cellStyle name="货币 3 2 4 2 2 3" xfId="8356"/>
    <cellStyle name="货币 3 2 4 2 2 3 2" xfId="8357"/>
    <cellStyle name="货币 3 2 4 2 3" xfId="8358"/>
    <cellStyle name="货币 3 2 4 3" xfId="1975"/>
    <cellStyle name="货币 3 2 4 3 2" xfId="4485"/>
    <cellStyle name="货币 3 2 4 3 2 2" xfId="8359"/>
    <cellStyle name="货币 3 2 4 3 2 3" xfId="8360"/>
    <cellStyle name="货币 3 2 4 3 2 3 2" xfId="8361"/>
    <cellStyle name="货币 3 2 4 3 3" xfId="8362"/>
    <cellStyle name="货币 3 2 4 4" xfId="1976"/>
    <cellStyle name="货币 3 2 4 4 2" xfId="4486"/>
    <cellStyle name="货币 3 2 4 4 2 2" xfId="8363"/>
    <cellStyle name="货币 3 2 4 4 2 3" xfId="8364"/>
    <cellStyle name="货币 3 2 4 4 2 3 2" xfId="8365"/>
    <cellStyle name="货币 3 2 4 4 3" xfId="8366"/>
    <cellStyle name="货币 3 2 4 5" xfId="4483"/>
    <cellStyle name="货币 3 2 4 5 2" xfId="8367"/>
    <cellStyle name="货币 3 2 4 5 3" xfId="8368"/>
    <cellStyle name="货币 3 2 4 5 3 2" xfId="8369"/>
    <cellStyle name="货币 3 2 4 6" xfId="8370"/>
    <cellStyle name="货币 3 2 5" xfId="1977"/>
    <cellStyle name="货币 3 2 5 2" xfId="4487"/>
    <cellStyle name="货币 3 2 5 2 2" xfId="8371"/>
    <cellStyle name="货币 3 2 5 2 3" xfId="8372"/>
    <cellStyle name="货币 3 2 5 2 3 2" xfId="8373"/>
    <cellStyle name="货币 3 2 5 3" xfId="8374"/>
    <cellStyle name="货币 3 2 6" xfId="1978"/>
    <cellStyle name="货币 3 2 6 2" xfId="4488"/>
    <cellStyle name="货币 3 2 6 2 2" xfId="8375"/>
    <cellStyle name="货币 3 2 6 2 3" xfId="8376"/>
    <cellStyle name="货币 3 2 6 2 3 2" xfId="8377"/>
    <cellStyle name="货币 3 2 6 3" xfId="8378"/>
    <cellStyle name="货币 3 2 7" xfId="1200"/>
    <cellStyle name="货币 3 2 7 2" xfId="4489"/>
    <cellStyle name="货币 3 2 7 2 2" xfId="8379"/>
    <cellStyle name="货币 3 2 7 2 3" xfId="8380"/>
    <cellStyle name="货币 3 2 7 2 3 2" xfId="8381"/>
    <cellStyle name="货币 3 2 7 3" xfId="8382"/>
    <cellStyle name="货币 3 2 8" xfId="4475"/>
    <cellStyle name="货币 3 2 8 2" xfId="8383"/>
    <cellStyle name="货币 3 2 8 3" xfId="8384"/>
    <cellStyle name="货币 3 2 8 3 2" xfId="8385"/>
    <cellStyle name="货币 3 2 9" xfId="8386"/>
    <cellStyle name="货币 3 3" xfId="1979"/>
    <cellStyle name="货币 3 3 2" xfId="1980"/>
    <cellStyle name="货币 3 3 2 2" xfId="4491"/>
    <cellStyle name="货币 3 3 2 2 2" xfId="8387"/>
    <cellStyle name="货币 3 3 2 2 3" xfId="8388"/>
    <cellStyle name="货币 3 3 2 2 3 2" xfId="8389"/>
    <cellStyle name="货币 3 3 2 3" xfId="8390"/>
    <cellStyle name="货币 3 3 3" xfId="1981"/>
    <cellStyle name="货币 3 3 3 2" xfId="4492"/>
    <cellStyle name="货币 3 3 3 2 2" xfId="8391"/>
    <cellStyle name="货币 3 3 3 2 3" xfId="8392"/>
    <cellStyle name="货币 3 3 3 2 3 2" xfId="8393"/>
    <cellStyle name="货币 3 3 3 3" xfId="8394"/>
    <cellStyle name="货币 3 3 4" xfId="1982"/>
    <cellStyle name="货币 3 3 4 2" xfId="4493"/>
    <cellStyle name="货币 3 3 4 2 2" xfId="8395"/>
    <cellStyle name="货币 3 3 4 2 3" xfId="8396"/>
    <cellStyle name="货币 3 3 4 2 3 2" xfId="8397"/>
    <cellStyle name="货币 3 3 4 3" xfId="8398"/>
    <cellStyle name="货币 3 3 5" xfId="4490"/>
    <cellStyle name="货币 3 3 5 2" xfId="8399"/>
    <cellStyle name="货币 3 3 5 3" xfId="8400"/>
    <cellStyle name="货币 3 3 5 3 2" xfId="8401"/>
    <cellStyle name="货币 3 3 6" xfId="8402"/>
    <cellStyle name="货币 3 4" xfId="1983"/>
    <cellStyle name="货币 3 4 2" xfId="1984"/>
    <cellStyle name="货币 3 4 2 2" xfId="4495"/>
    <cellStyle name="货币 3 4 2 2 2" xfId="8403"/>
    <cellStyle name="货币 3 4 2 2 3" xfId="8404"/>
    <cellStyle name="货币 3 4 2 2 3 2" xfId="8405"/>
    <cellStyle name="货币 3 4 2 3" xfId="8406"/>
    <cellStyle name="货币 3 4 3" xfId="1985"/>
    <cellStyle name="货币 3 4 3 2" xfId="4496"/>
    <cellStyle name="货币 3 4 3 2 2" xfId="8407"/>
    <cellStyle name="货币 3 4 3 2 3" xfId="8408"/>
    <cellStyle name="货币 3 4 3 2 3 2" xfId="8409"/>
    <cellStyle name="货币 3 4 3 3" xfId="8410"/>
    <cellStyle name="货币 3 4 4" xfId="1986"/>
    <cellStyle name="货币 3 4 4 2" xfId="4497"/>
    <cellStyle name="货币 3 4 4 2 2" xfId="8411"/>
    <cellStyle name="货币 3 4 4 2 3" xfId="8412"/>
    <cellStyle name="货币 3 4 4 2 3 2" xfId="8413"/>
    <cellStyle name="货币 3 4 4 3" xfId="8414"/>
    <cellStyle name="货币 3 4 5" xfId="4494"/>
    <cellStyle name="货币 3 4 5 2" xfId="8415"/>
    <cellStyle name="货币 3 4 5 3" xfId="8416"/>
    <cellStyle name="货币 3 4 5 3 2" xfId="8417"/>
    <cellStyle name="货币 3 4 6" xfId="8418"/>
    <cellStyle name="货币 3 5" xfId="1987"/>
    <cellStyle name="货币 3 5 2" xfId="1988"/>
    <cellStyle name="货币 3 5 2 2" xfId="4499"/>
    <cellStyle name="货币 3 5 2 2 2" xfId="8419"/>
    <cellStyle name="货币 3 5 2 2 3" xfId="8420"/>
    <cellStyle name="货币 3 5 2 2 3 2" xfId="8421"/>
    <cellStyle name="货币 3 5 2 3" xfId="8422"/>
    <cellStyle name="货币 3 5 3" xfId="1989"/>
    <cellStyle name="货币 3 5 3 2" xfId="4500"/>
    <cellStyle name="货币 3 5 3 2 2" xfId="8423"/>
    <cellStyle name="货币 3 5 3 2 3" xfId="8424"/>
    <cellStyle name="货币 3 5 3 2 3 2" xfId="8425"/>
    <cellStyle name="货币 3 5 3 3" xfId="8426"/>
    <cellStyle name="货币 3 5 4" xfId="4498"/>
    <cellStyle name="货币 3 5 4 2" xfId="8427"/>
    <cellStyle name="货币 3 5 4 3" xfId="8428"/>
    <cellStyle name="货币 3 5 4 3 2" xfId="8429"/>
    <cellStyle name="货币 3 5 5" xfId="8430"/>
    <cellStyle name="货币 3 6" xfId="1342"/>
    <cellStyle name="货币 3 6 2" xfId="1990"/>
    <cellStyle name="货币 3 6 2 2" xfId="4502"/>
    <cellStyle name="货币 3 6 2 2 2" xfId="8431"/>
    <cellStyle name="货币 3 6 2 2 3" xfId="8432"/>
    <cellStyle name="货币 3 6 2 2 3 2" xfId="8433"/>
    <cellStyle name="货币 3 6 2 3" xfId="8434"/>
    <cellStyle name="货币 3 6 3" xfId="688"/>
    <cellStyle name="货币 3 6 3 2" xfId="4503"/>
    <cellStyle name="货币 3 6 3 2 2" xfId="8435"/>
    <cellStyle name="货币 3 6 3 2 3" xfId="8436"/>
    <cellStyle name="货币 3 6 3 2 3 2" xfId="8437"/>
    <cellStyle name="货币 3 6 3 3" xfId="8438"/>
    <cellStyle name="货币 3 6 4" xfId="694"/>
    <cellStyle name="货币 3 6 4 2" xfId="4504"/>
    <cellStyle name="货币 3 6 4 2 2" xfId="8439"/>
    <cellStyle name="货币 3 6 4 2 3" xfId="8440"/>
    <cellStyle name="货币 3 6 4 2 3 2" xfId="8441"/>
    <cellStyle name="货币 3 6 4 3" xfId="8442"/>
    <cellStyle name="货币 3 6 5" xfId="4501"/>
    <cellStyle name="货币 3 6 5 2" xfId="8443"/>
    <cellStyle name="货币 3 6 5 3" xfId="8444"/>
    <cellStyle name="货币 3 6 5 3 2" xfId="8445"/>
    <cellStyle name="货币 3 6 6" xfId="8446"/>
    <cellStyle name="货币 3 7" xfId="1991"/>
    <cellStyle name="货币 3 7 2" xfId="4505"/>
    <cellStyle name="货币 3 7 2 2" xfId="8447"/>
    <cellStyle name="货币 3 7 2 3" xfId="8448"/>
    <cellStyle name="货币 3 7 2 3 2" xfId="8449"/>
    <cellStyle name="货币 3 7 3" xfId="8450"/>
    <cellStyle name="货币 3 8" xfId="1992"/>
    <cellStyle name="货币 3 8 2" xfId="4506"/>
    <cellStyle name="货币 3 8 2 2" xfId="8451"/>
    <cellStyle name="货币 3 8 2 3" xfId="8452"/>
    <cellStyle name="货币 3 8 2 3 2" xfId="8453"/>
    <cellStyle name="货币 3 8 3" xfId="8454"/>
    <cellStyle name="货币 3 9" xfId="1993"/>
    <cellStyle name="货币 3 9 2" xfId="4507"/>
    <cellStyle name="货币 3 9 2 2" xfId="8455"/>
    <cellStyle name="货币 3 9 2 3" xfId="8456"/>
    <cellStyle name="货币 3 9 2 3 2" xfId="8457"/>
    <cellStyle name="货币 3 9 3" xfId="8458"/>
    <cellStyle name="货币 4" xfId="1994"/>
    <cellStyle name="货币 4 10" xfId="4508"/>
    <cellStyle name="货币 4 10 2" xfId="8459"/>
    <cellStyle name="货币 4 10 3" xfId="8460"/>
    <cellStyle name="货币 4 10 3 2" xfId="8461"/>
    <cellStyle name="货币 4 11" xfId="8462"/>
    <cellStyle name="货币 4 2" xfId="1995"/>
    <cellStyle name="货币 4 2 2" xfId="1996"/>
    <cellStyle name="货币 4 2 2 2" xfId="1997"/>
    <cellStyle name="货币 4 2 2 2 2" xfId="4511"/>
    <cellStyle name="货币 4 2 2 2 2 2" xfId="8463"/>
    <cellStyle name="货币 4 2 2 2 2 3" xfId="8464"/>
    <cellStyle name="货币 4 2 2 2 2 3 2" xfId="8465"/>
    <cellStyle name="货币 4 2 2 2 3" xfId="8466"/>
    <cellStyle name="货币 4 2 2 3" xfId="1998"/>
    <cellStyle name="货币 4 2 2 3 2" xfId="4512"/>
    <cellStyle name="货币 4 2 2 3 2 2" xfId="8467"/>
    <cellStyle name="货币 4 2 2 3 2 3" xfId="8468"/>
    <cellStyle name="货币 4 2 2 3 2 3 2" xfId="8469"/>
    <cellStyle name="货币 4 2 2 3 3" xfId="8470"/>
    <cellStyle name="货币 4 2 2 4" xfId="1999"/>
    <cellStyle name="货币 4 2 2 4 2" xfId="4513"/>
    <cellStyle name="货币 4 2 2 4 2 2" xfId="8471"/>
    <cellStyle name="货币 4 2 2 4 2 3" xfId="8472"/>
    <cellStyle name="货币 4 2 2 4 2 3 2" xfId="8473"/>
    <cellStyle name="货币 4 2 2 4 3" xfId="8474"/>
    <cellStyle name="货币 4 2 2 5" xfId="4510"/>
    <cellStyle name="货币 4 2 2 5 2" xfId="8475"/>
    <cellStyle name="货币 4 2 2 5 3" xfId="8476"/>
    <cellStyle name="货币 4 2 2 5 3 2" xfId="8477"/>
    <cellStyle name="货币 4 2 2 6" xfId="8478"/>
    <cellStyle name="货币 4 2 3" xfId="2000"/>
    <cellStyle name="货币 4 2 3 2" xfId="2001"/>
    <cellStyle name="货币 4 2 3 2 2" xfId="4515"/>
    <cellStyle name="货币 4 2 3 2 2 2" xfId="8479"/>
    <cellStyle name="货币 4 2 3 2 2 3" xfId="8480"/>
    <cellStyle name="货币 4 2 3 2 2 3 2" xfId="8481"/>
    <cellStyle name="货币 4 2 3 2 3" xfId="8482"/>
    <cellStyle name="货币 4 2 3 3" xfId="2002"/>
    <cellStyle name="货币 4 2 3 3 2" xfId="4516"/>
    <cellStyle name="货币 4 2 3 3 2 2" xfId="8483"/>
    <cellStyle name="货币 4 2 3 3 2 3" xfId="8484"/>
    <cellStyle name="货币 4 2 3 3 2 3 2" xfId="8485"/>
    <cellStyle name="货币 4 2 3 3 3" xfId="8486"/>
    <cellStyle name="货币 4 2 3 4" xfId="4514"/>
    <cellStyle name="货币 4 2 3 4 2" xfId="8487"/>
    <cellStyle name="货币 4 2 3 4 3" xfId="8488"/>
    <cellStyle name="货币 4 2 3 4 3 2" xfId="8489"/>
    <cellStyle name="货币 4 2 3 5" xfId="8490"/>
    <cellStyle name="货币 4 2 4" xfId="2003"/>
    <cellStyle name="货币 4 2 4 2" xfId="2004"/>
    <cellStyle name="货币 4 2 4 2 2" xfId="4518"/>
    <cellStyle name="货币 4 2 4 2 2 2" xfId="8491"/>
    <cellStyle name="货币 4 2 4 2 2 3" xfId="8492"/>
    <cellStyle name="货币 4 2 4 2 2 3 2" xfId="8493"/>
    <cellStyle name="货币 4 2 4 2 3" xfId="8494"/>
    <cellStyle name="货币 4 2 4 3" xfId="2005"/>
    <cellStyle name="货币 4 2 4 3 2" xfId="4519"/>
    <cellStyle name="货币 4 2 4 3 2 2" xfId="8495"/>
    <cellStyle name="货币 4 2 4 3 2 3" xfId="8496"/>
    <cellStyle name="货币 4 2 4 3 2 3 2" xfId="8497"/>
    <cellStyle name="货币 4 2 4 3 3" xfId="8498"/>
    <cellStyle name="货币 4 2 4 4" xfId="2006"/>
    <cellStyle name="货币 4 2 4 4 2" xfId="4520"/>
    <cellStyle name="货币 4 2 4 4 2 2" xfId="8499"/>
    <cellStyle name="货币 4 2 4 4 2 3" xfId="8500"/>
    <cellStyle name="货币 4 2 4 4 2 3 2" xfId="8501"/>
    <cellStyle name="货币 4 2 4 4 3" xfId="8502"/>
    <cellStyle name="货币 4 2 4 5" xfId="4517"/>
    <cellStyle name="货币 4 2 4 5 2" xfId="8503"/>
    <cellStyle name="货币 4 2 4 5 3" xfId="8504"/>
    <cellStyle name="货币 4 2 4 5 3 2" xfId="8505"/>
    <cellStyle name="货币 4 2 4 6" xfId="8506"/>
    <cellStyle name="货币 4 2 5" xfId="2007"/>
    <cellStyle name="货币 4 2 5 2" xfId="4521"/>
    <cellStyle name="货币 4 2 5 2 2" xfId="8507"/>
    <cellStyle name="货币 4 2 5 2 3" xfId="8508"/>
    <cellStyle name="货币 4 2 5 2 3 2" xfId="8509"/>
    <cellStyle name="货币 4 2 5 3" xfId="8510"/>
    <cellStyle name="货币 4 2 6" xfId="2008"/>
    <cellStyle name="货币 4 2 6 2" xfId="4522"/>
    <cellStyle name="货币 4 2 6 2 2" xfId="8511"/>
    <cellStyle name="货币 4 2 6 2 3" xfId="8512"/>
    <cellStyle name="货币 4 2 6 2 3 2" xfId="8513"/>
    <cellStyle name="货币 4 2 6 3" xfId="8514"/>
    <cellStyle name="货币 4 2 7" xfId="2009"/>
    <cellStyle name="货币 4 2 7 2" xfId="4523"/>
    <cellStyle name="货币 4 2 7 2 2" xfId="8515"/>
    <cellStyle name="货币 4 2 7 2 3" xfId="8516"/>
    <cellStyle name="货币 4 2 7 2 3 2" xfId="8517"/>
    <cellStyle name="货币 4 2 7 3" xfId="8518"/>
    <cellStyle name="货币 4 2 8" xfId="4509"/>
    <cellStyle name="货币 4 2 8 2" xfId="8519"/>
    <cellStyle name="货币 4 2 8 3" xfId="8520"/>
    <cellStyle name="货币 4 2 8 3 2" xfId="8521"/>
    <cellStyle name="货币 4 2 9" xfId="8522"/>
    <cellStyle name="货币 4 3" xfId="2010"/>
    <cellStyle name="货币 4 3 2" xfId="2011"/>
    <cellStyle name="货币 4 3 2 2" xfId="4525"/>
    <cellStyle name="货币 4 3 2 2 2" xfId="8523"/>
    <cellStyle name="货币 4 3 2 2 3" xfId="8524"/>
    <cellStyle name="货币 4 3 2 2 3 2" xfId="8525"/>
    <cellStyle name="货币 4 3 2 3" xfId="8526"/>
    <cellStyle name="货币 4 3 3" xfId="2012"/>
    <cellStyle name="货币 4 3 3 2" xfId="4526"/>
    <cellStyle name="货币 4 3 3 2 2" xfId="8527"/>
    <cellStyle name="货币 4 3 3 2 3" xfId="8528"/>
    <cellStyle name="货币 4 3 3 2 3 2" xfId="8529"/>
    <cellStyle name="货币 4 3 3 3" xfId="8530"/>
    <cellStyle name="货币 4 3 4" xfId="2013"/>
    <cellStyle name="货币 4 3 4 2" xfId="4527"/>
    <cellStyle name="货币 4 3 4 2 2" xfId="8531"/>
    <cellStyle name="货币 4 3 4 2 3" xfId="8532"/>
    <cellStyle name="货币 4 3 4 2 3 2" xfId="8533"/>
    <cellStyle name="货币 4 3 4 3" xfId="8534"/>
    <cellStyle name="货币 4 3 5" xfId="4524"/>
    <cellStyle name="货币 4 3 5 2" xfId="8535"/>
    <cellStyle name="货币 4 3 5 3" xfId="8536"/>
    <cellStyle name="货币 4 3 5 3 2" xfId="8537"/>
    <cellStyle name="货币 4 3 6" xfId="8538"/>
    <cellStyle name="货币 4 4" xfId="2014"/>
    <cellStyle name="货币 4 4 2" xfId="2015"/>
    <cellStyle name="货币 4 4 2 2" xfId="4529"/>
    <cellStyle name="货币 4 4 2 2 2" xfId="8539"/>
    <cellStyle name="货币 4 4 2 2 3" xfId="8540"/>
    <cellStyle name="货币 4 4 2 2 3 2" xfId="8541"/>
    <cellStyle name="货币 4 4 2 3" xfId="8542"/>
    <cellStyle name="货币 4 4 3" xfId="2016"/>
    <cellStyle name="货币 4 4 3 2" xfId="4530"/>
    <cellStyle name="货币 4 4 3 2 2" xfId="8543"/>
    <cellStyle name="货币 4 4 3 2 3" xfId="8544"/>
    <cellStyle name="货币 4 4 3 2 3 2" xfId="8545"/>
    <cellStyle name="货币 4 4 3 3" xfId="8546"/>
    <cellStyle name="货币 4 4 4" xfId="2017"/>
    <cellStyle name="货币 4 4 4 2" xfId="4531"/>
    <cellStyle name="货币 4 4 4 2 2" xfId="8547"/>
    <cellStyle name="货币 4 4 4 2 3" xfId="8548"/>
    <cellStyle name="货币 4 4 4 2 3 2" xfId="8549"/>
    <cellStyle name="货币 4 4 4 3" xfId="8550"/>
    <cellStyle name="货币 4 4 5" xfId="4528"/>
    <cellStyle name="货币 4 4 5 2" xfId="8551"/>
    <cellStyle name="货币 4 4 5 3" xfId="8552"/>
    <cellStyle name="货币 4 4 5 3 2" xfId="8553"/>
    <cellStyle name="货币 4 4 6" xfId="8554"/>
    <cellStyle name="货币 4 5" xfId="2018"/>
    <cellStyle name="货币 4 5 2" xfId="2019"/>
    <cellStyle name="货币 4 5 2 2" xfId="4533"/>
    <cellStyle name="货币 4 5 2 2 2" xfId="8555"/>
    <cellStyle name="货币 4 5 2 2 3" xfId="8556"/>
    <cellStyle name="货币 4 5 2 2 3 2" xfId="8557"/>
    <cellStyle name="货币 4 5 2 3" xfId="8558"/>
    <cellStyle name="货币 4 5 3" xfId="2020"/>
    <cellStyle name="货币 4 5 3 2" xfId="4534"/>
    <cellStyle name="货币 4 5 3 2 2" xfId="8559"/>
    <cellStyle name="货币 4 5 3 2 3" xfId="8560"/>
    <cellStyle name="货币 4 5 3 2 3 2" xfId="8561"/>
    <cellStyle name="货币 4 5 3 3" xfId="8562"/>
    <cellStyle name="货币 4 5 4" xfId="4532"/>
    <cellStyle name="货币 4 5 4 2" xfId="8563"/>
    <cellStyle name="货币 4 5 4 3" xfId="8564"/>
    <cellStyle name="货币 4 5 4 3 2" xfId="8565"/>
    <cellStyle name="货币 4 5 5" xfId="8566"/>
    <cellStyle name="货币 4 6" xfId="2021"/>
    <cellStyle name="货币 4 6 2" xfId="2022"/>
    <cellStyle name="货币 4 6 2 2" xfId="4536"/>
    <cellStyle name="货币 4 6 2 2 2" xfId="8567"/>
    <cellStyle name="货币 4 6 2 2 3" xfId="8568"/>
    <cellStyle name="货币 4 6 2 2 3 2" xfId="8569"/>
    <cellStyle name="货币 4 6 2 3" xfId="8570"/>
    <cellStyle name="货币 4 6 3" xfId="733"/>
    <cellStyle name="货币 4 6 3 2" xfId="4537"/>
    <cellStyle name="货币 4 6 3 2 2" xfId="8571"/>
    <cellStyle name="货币 4 6 3 2 3" xfId="8572"/>
    <cellStyle name="货币 4 6 3 2 3 2" xfId="8573"/>
    <cellStyle name="货币 4 6 3 3" xfId="8574"/>
    <cellStyle name="货币 4 6 4" xfId="741"/>
    <cellStyle name="货币 4 6 4 2" xfId="4538"/>
    <cellStyle name="货币 4 6 4 2 2" xfId="8575"/>
    <cellStyle name="货币 4 6 4 2 3" xfId="8576"/>
    <cellStyle name="货币 4 6 4 2 3 2" xfId="8577"/>
    <cellStyle name="货币 4 6 4 3" xfId="8578"/>
    <cellStyle name="货币 4 6 5" xfId="4535"/>
    <cellStyle name="货币 4 6 5 2" xfId="8579"/>
    <cellStyle name="货币 4 6 5 3" xfId="8580"/>
    <cellStyle name="货币 4 6 5 3 2" xfId="8581"/>
    <cellStyle name="货币 4 6 6" xfId="8582"/>
    <cellStyle name="货币 4 7" xfId="1831"/>
    <cellStyle name="货币 4 7 2" xfId="4539"/>
    <cellStyle name="货币 4 7 2 2" xfId="8583"/>
    <cellStyle name="货币 4 7 2 3" xfId="8584"/>
    <cellStyle name="货币 4 7 2 3 2" xfId="8585"/>
    <cellStyle name="货币 4 7 3" xfId="8586"/>
    <cellStyle name="货币 4 8" xfId="2023"/>
    <cellStyle name="货币 4 8 2" xfId="4540"/>
    <cellStyle name="货币 4 8 2 2" xfId="8587"/>
    <cellStyle name="货币 4 8 2 3" xfId="8588"/>
    <cellStyle name="货币 4 8 2 3 2" xfId="8589"/>
    <cellStyle name="货币 4 8 3" xfId="8590"/>
    <cellStyle name="货币 4 9" xfId="2024"/>
    <cellStyle name="货币 4 9 2" xfId="4541"/>
    <cellStyle name="货币 4 9 2 2" xfId="8591"/>
    <cellStyle name="货币 4 9 2 3" xfId="8592"/>
    <cellStyle name="货币 4 9 2 3 2" xfId="8593"/>
    <cellStyle name="货币 4 9 3" xfId="8594"/>
    <cellStyle name="货币 5" xfId="2026"/>
    <cellStyle name="货币 5 2" xfId="2027"/>
    <cellStyle name="货币 5 2 2" xfId="4543"/>
    <cellStyle name="货币 5 2 2 2" xfId="8595"/>
    <cellStyle name="货币 5 2 2 3" xfId="8596"/>
    <cellStyle name="货币 5 2 2 3 2" xfId="8597"/>
    <cellStyle name="货币 5 2 3" xfId="8598"/>
    <cellStyle name="货币 5 3" xfId="2028"/>
    <cellStyle name="货币 5 3 2" xfId="4544"/>
    <cellStyle name="货币 5 3 2 2" xfId="8599"/>
    <cellStyle name="货币 5 3 2 3" xfId="8600"/>
    <cellStyle name="货币 5 3 2 3 2" xfId="8601"/>
    <cellStyle name="货币 5 3 3" xfId="8602"/>
    <cellStyle name="货币 5 4" xfId="4542"/>
    <cellStyle name="货币 5 4 2" xfId="8603"/>
    <cellStyle name="货币 5 4 3" xfId="8604"/>
    <cellStyle name="货币 5 4 3 2" xfId="8605"/>
    <cellStyle name="货币 5 5" xfId="8606"/>
    <cellStyle name="货币[0] 2" xfId="2692"/>
    <cellStyle name="货币[0] 2 2" xfId="8607"/>
    <cellStyle name="货币[0] 2 3" xfId="8608"/>
    <cellStyle name="货币[0] 2 3 2" xfId="8609"/>
    <cellStyle name="货币[0] 3" xfId="2693"/>
    <cellStyle name="货币[0] 3 2" xfId="8610"/>
    <cellStyle name="货币[0] 3 3" xfId="8611"/>
    <cellStyle name="货币[0] 3 3 2" xfId="8612"/>
    <cellStyle name="计算" xfId="2030"/>
    <cellStyle name="计算 10" xfId="8613"/>
    <cellStyle name="计算 10 2" xfId="8614"/>
    <cellStyle name="计算 2" xfId="2031"/>
    <cellStyle name="计算 2 10" xfId="8615"/>
    <cellStyle name="计算 2 10 2" xfId="8616"/>
    <cellStyle name="计算 2 11" xfId="8617"/>
    <cellStyle name="计算 2 11 2" xfId="8618"/>
    <cellStyle name="计算 2 12" xfId="8619"/>
    <cellStyle name="计算 2 12 2" xfId="8620"/>
    <cellStyle name="计算 2 2" xfId="2032"/>
    <cellStyle name="计算 2 2 2" xfId="1832"/>
    <cellStyle name="计算 2 2 2 2" xfId="2033"/>
    <cellStyle name="计算 2 2 2 2 2" xfId="4547"/>
    <cellStyle name="计算 2 2 2 2 2 2" xfId="8621"/>
    <cellStyle name="计算 2 2 2 2 2 2 2" xfId="8622"/>
    <cellStyle name="计算 2 2 2 2 2 3" xfId="8623"/>
    <cellStyle name="计算 2 2 2 2 2 3 2" xfId="8624"/>
    <cellStyle name="计算 2 2 2 2 2 4" xfId="8625"/>
    <cellStyle name="计算 2 2 2 2 2 4 2" xfId="8626"/>
    <cellStyle name="计算 2 2 2 2 2 5" xfId="8627"/>
    <cellStyle name="计算 2 2 2 2 2 5 2" xfId="8628"/>
    <cellStyle name="计算 2 2 2 2 2 6" xfId="8629"/>
    <cellStyle name="计算 2 2 2 2 2 6 2" xfId="8630"/>
    <cellStyle name="计算 2 2 2 2 2 7" xfId="8631"/>
    <cellStyle name="计算 2 2 2 2 2 7 2" xfId="8632"/>
    <cellStyle name="计算 2 2 2 2 2 7 2 2" xfId="8633"/>
    <cellStyle name="计算 2 2 2 2 2 7 2 2 2" xfId="8634"/>
    <cellStyle name="计算 2 2 2 2 2 7 3" xfId="8635"/>
    <cellStyle name="计算 2 2 2 2 2 7 3 2" xfId="8636"/>
    <cellStyle name="计算 2 2 2 2 2 8" xfId="8637"/>
    <cellStyle name="计算 2 2 2 2 2 8 2" xfId="8638"/>
    <cellStyle name="计算 2 2 2 2 3" xfId="8639"/>
    <cellStyle name="计算 2 2 2 2 3 2" xfId="8640"/>
    <cellStyle name="计算 2 2 2 2 4" xfId="8641"/>
    <cellStyle name="计算 2 2 2 2 4 2" xfId="8642"/>
    <cellStyle name="计算 2 2 2 2 5" xfId="8643"/>
    <cellStyle name="计算 2 2 2 2 5 2" xfId="8644"/>
    <cellStyle name="计算 2 2 2 2 6" xfId="8645"/>
    <cellStyle name="计算 2 2 2 2 6 2" xfId="8646"/>
    <cellStyle name="计算 2 2 2 2 7" xfId="8647"/>
    <cellStyle name="计算 2 2 2 2 7 2" xfId="8648"/>
    <cellStyle name="计算 2 2 2 3" xfId="2697"/>
    <cellStyle name="计算 2 2 2 3 2" xfId="8649"/>
    <cellStyle name="计算 2 2 2 3 2 2" xfId="8650"/>
    <cellStyle name="计算 2 2 2 3 3" xfId="8651"/>
    <cellStyle name="计算 2 2 2 3 3 2" xfId="8652"/>
    <cellStyle name="计算 2 2 2 3 4" xfId="8653"/>
    <cellStyle name="计算 2 2 2 3 4 2" xfId="8654"/>
    <cellStyle name="计算 2 2 2 3 5" xfId="8655"/>
    <cellStyle name="计算 2 2 2 3 5 2" xfId="8656"/>
    <cellStyle name="计算 2 2 2 3 6" xfId="8657"/>
    <cellStyle name="计算 2 2 2 3 6 2" xfId="8658"/>
    <cellStyle name="计算 2 2 2 3 7" xfId="8659"/>
    <cellStyle name="计算 2 2 2 3 7 2" xfId="8660"/>
    <cellStyle name="计算 2 2 2 3 7 2 2" xfId="8661"/>
    <cellStyle name="计算 2 2 2 3 7 2 2 2" xfId="8662"/>
    <cellStyle name="计算 2 2 2 3 7 3" xfId="8663"/>
    <cellStyle name="计算 2 2 2 3 7 3 2" xfId="8664"/>
    <cellStyle name="计算 2 2 2 3 8" xfId="8665"/>
    <cellStyle name="计算 2 2 2 3 8 2" xfId="8666"/>
    <cellStyle name="计算 2 2 2 4" xfId="8667"/>
    <cellStyle name="计算 2 2 2 4 2" xfId="8668"/>
    <cellStyle name="计算 2 2 2 5" xfId="8669"/>
    <cellStyle name="计算 2 2 2 5 2" xfId="8670"/>
    <cellStyle name="计算 2 2 2 6" xfId="8671"/>
    <cellStyle name="计算 2 2 2 6 2" xfId="8672"/>
    <cellStyle name="计算 2 2 2 7" xfId="8673"/>
    <cellStyle name="计算 2 2 2 7 2" xfId="8674"/>
    <cellStyle name="计算 2 2 2 8" xfId="8675"/>
    <cellStyle name="计算 2 2 2 8 2" xfId="8676"/>
    <cellStyle name="计算 2 2 3" xfId="2034"/>
    <cellStyle name="计算 2 2 3 2" xfId="2698"/>
    <cellStyle name="计算 2 2 3 2 2" xfId="8677"/>
    <cellStyle name="计算 2 2 3 2 2 2" xfId="8678"/>
    <cellStyle name="计算 2 2 3 2 3" xfId="8679"/>
    <cellStyle name="计算 2 2 3 2 3 2" xfId="8680"/>
    <cellStyle name="计算 2 2 3 2 4" xfId="8681"/>
    <cellStyle name="计算 2 2 3 2 4 2" xfId="8682"/>
    <cellStyle name="计算 2 2 3 2 5" xfId="8683"/>
    <cellStyle name="计算 2 2 3 2 5 2" xfId="8684"/>
    <cellStyle name="计算 2 2 3 2 6" xfId="8685"/>
    <cellStyle name="计算 2 2 3 2 6 2" xfId="8686"/>
    <cellStyle name="计算 2 2 3 2 7" xfId="8687"/>
    <cellStyle name="计算 2 2 3 2 7 2" xfId="8688"/>
    <cellStyle name="计算 2 2 3 2 7 2 2" xfId="8689"/>
    <cellStyle name="计算 2 2 3 2 7 2 2 2" xfId="8690"/>
    <cellStyle name="计算 2 2 3 2 7 3" xfId="8691"/>
    <cellStyle name="计算 2 2 3 2 7 3 2" xfId="8692"/>
    <cellStyle name="计算 2 2 3 2 8" xfId="8693"/>
    <cellStyle name="计算 2 2 3 2 8 2" xfId="8694"/>
    <cellStyle name="计算 2 2 3 3" xfId="8695"/>
    <cellStyle name="计算 2 2 3 3 2" xfId="8696"/>
    <cellStyle name="计算 2 2 3 4" xfId="8697"/>
    <cellStyle name="计算 2 2 3 4 2" xfId="8698"/>
    <cellStyle name="计算 2 2 3 5" xfId="8699"/>
    <cellStyle name="计算 2 2 3 5 2" xfId="8700"/>
    <cellStyle name="计算 2 2 3 6" xfId="8701"/>
    <cellStyle name="计算 2 2 3 6 2" xfId="8702"/>
    <cellStyle name="计算 2 2 3 7" xfId="8703"/>
    <cellStyle name="计算 2 2 3 7 2" xfId="8704"/>
    <cellStyle name="计算 2 2 4" xfId="2696"/>
    <cellStyle name="计算 2 2 4 2" xfId="8705"/>
    <cellStyle name="计算 2 2 4 2 2" xfId="8706"/>
    <cellStyle name="计算 2 2 4 3" xfId="8707"/>
    <cellStyle name="计算 2 2 4 3 2" xfId="8708"/>
    <cellStyle name="计算 2 2 4 4" xfId="8709"/>
    <cellStyle name="计算 2 2 4 4 2" xfId="8710"/>
    <cellStyle name="计算 2 2 4 5" xfId="8711"/>
    <cellStyle name="计算 2 2 4 5 2" xfId="8712"/>
    <cellStyle name="计算 2 2 4 6" xfId="8713"/>
    <cellStyle name="计算 2 2 4 6 2" xfId="8714"/>
    <cellStyle name="计算 2 2 4 7" xfId="8715"/>
    <cellStyle name="计算 2 2 4 7 2" xfId="8716"/>
    <cellStyle name="计算 2 2 4 7 2 2" xfId="8717"/>
    <cellStyle name="计算 2 2 4 7 2 2 2" xfId="8718"/>
    <cellStyle name="计算 2 2 4 7 3" xfId="8719"/>
    <cellStyle name="计算 2 2 4 7 3 2" xfId="8720"/>
    <cellStyle name="计算 2 2 4 8" xfId="8721"/>
    <cellStyle name="计算 2 2 4 8 2" xfId="8722"/>
    <cellStyle name="计算 2 2 5" xfId="8723"/>
    <cellStyle name="计算 2 2 5 2" xfId="8724"/>
    <cellStyle name="计算 2 2 6" xfId="8725"/>
    <cellStyle name="计算 2 2 6 2" xfId="8726"/>
    <cellStyle name="计算 2 2 7" xfId="8727"/>
    <cellStyle name="计算 2 2 7 2" xfId="8728"/>
    <cellStyle name="计算 2 2 8" xfId="8729"/>
    <cellStyle name="计算 2 2 8 2" xfId="8730"/>
    <cellStyle name="计算 2 2 9" xfId="8731"/>
    <cellStyle name="计算 2 2 9 2" xfId="8732"/>
    <cellStyle name="计算 2 3" xfId="2035"/>
    <cellStyle name="计算 2 3 10" xfId="8733"/>
    <cellStyle name="计算 2 3 10 2" xfId="8734"/>
    <cellStyle name="计算 2 3 2" xfId="1296"/>
    <cellStyle name="计算 2 3 2 2" xfId="2036"/>
    <cellStyle name="计算 2 3 2 2 2" xfId="4550"/>
    <cellStyle name="计算 2 3 2 2 2 2" xfId="8735"/>
    <cellStyle name="计算 2 3 2 2 2 2 2" xfId="8736"/>
    <cellStyle name="计算 2 3 2 2 2 3" xfId="8737"/>
    <cellStyle name="计算 2 3 2 2 2 3 2" xfId="8738"/>
    <cellStyle name="计算 2 3 2 2 2 4" xfId="8739"/>
    <cellStyle name="计算 2 3 2 2 2 4 2" xfId="8740"/>
    <cellStyle name="计算 2 3 2 2 2 5" xfId="8741"/>
    <cellStyle name="计算 2 3 2 2 2 5 2" xfId="8742"/>
    <cellStyle name="计算 2 3 2 2 2 6" xfId="8743"/>
    <cellStyle name="计算 2 3 2 2 2 6 2" xfId="8744"/>
    <cellStyle name="计算 2 3 2 2 2 7" xfId="8745"/>
    <cellStyle name="计算 2 3 2 2 2 7 2" xfId="8746"/>
    <cellStyle name="计算 2 3 2 2 2 7 2 2" xfId="8747"/>
    <cellStyle name="计算 2 3 2 2 2 7 2 2 2" xfId="8748"/>
    <cellStyle name="计算 2 3 2 2 2 7 3" xfId="8749"/>
    <cellStyle name="计算 2 3 2 2 2 7 3 2" xfId="8750"/>
    <cellStyle name="计算 2 3 2 2 2 8" xfId="8751"/>
    <cellStyle name="计算 2 3 2 2 2 8 2" xfId="8752"/>
    <cellStyle name="计算 2 3 2 2 3" xfId="8753"/>
    <cellStyle name="计算 2 3 2 2 3 2" xfId="8754"/>
    <cellStyle name="计算 2 3 2 2 4" xfId="8755"/>
    <cellStyle name="计算 2 3 2 2 4 2" xfId="8756"/>
    <cellStyle name="计算 2 3 2 2 5" xfId="8757"/>
    <cellStyle name="计算 2 3 2 2 5 2" xfId="8758"/>
    <cellStyle name="计算 2 3 2 2 6" xfId="8759"/>
    <cellStyle name="计算 2 3 2 2 6 2" xfId="8760"/>
    <cellStyle name="计算 2 3 2 2 7" xfId="8761"/>
    <cellStyle name="计算 2 3 2 2 7 2" xfId="8762"/>
    <cellStyle name="计算 2 3 2 3" xfId="4549"/>
    <cellStyle name="计算 2 3 2 3 2" xfId="8763"/>
    <cellStyle name="计算 2 3 2 3 2 2" xfId="8764"/>
    <cellStyle name="计算 2 3 2 3 3" xfId="8765"/>
    <cellStyle name="计算 2 3 2 3 3 2" xfId="8766"/>
    <cellStyle name="计算 2 3 2 3 4" xfId="8767"/>
    <cellStyle name="计算 2 3 2 3 4 2" xfId="8768"/>
    <cellStyle name="计算 2 3 2 3 5" xfId="8769"/>
    <cellStyle name="计算 2 3 2 3 5 2" xfId="8770"/>
    <cellStyle name="计算 2 3 2 3 6" xfId="8771"/>
    <cellStyle name="计算 2 3 2 3 6 2" xfId="8772"/>
    <cellStyle name="计算 2 3 2 3 7" xfId="8773"/>
    <cellStyle name="计算 2 3 2 3 7 2" xfId="8774"/>
    <cellStyle name="计算 2 3 2 3 7 2 2" xfId="8775"/>
    <cellStyle name="计算 2 3 2 3 7 2 2 2" xfId="8776"/>
    <cellStyle name="计算 2 3 2 3 7 3" xfId="8777"/>
    <cellStyle name="计算 2 3 2 3 7 3 2" xfId="8778"/>
    <cellStyle name="计算 2 3 2 3 8" xfId="8779"/>
    <cellStyle name="计算 2 3 2 3 8 2" xfId="8780"/>
    <cellStyle name="计算 2 3 2 4" xfId="8781"/>
    <cellStyle name="计算 2 3 2 4 2" xfId="8782"/>
    <cellStyle name="计算 2 3 2 5" xfId="8783"/>
    <cellStyle name="计算 2 3 2 5 2" xfId="8784"/>
    <cellStyle name="计算 2 3 2 6" xfId="8785"/>
    <cellStyle name="计算 2 3 2 6 2" xfId="8786"/>
    <cellStyle name="计算 2 3 2 7" xfId="8787"/>
    <cellStyle name="计算 2 3 2 7 2" xfId="8788"/>
    <cellStyle name="计算 2 3 2 8" xfId="8789"/>
    <cellStyle name="计算 2 3 2 8 2" xfId="8790"/>
    <cellStyle name="计算 2 3 3" xfId="2029"/>
    <cellStyle name="计算 2 3 3 2" xfId="4551"/>
    <cellStyle name="计算 2 3 3 2 2" xfId="8791"/>
    <cellStyle name="计算 2 3 3 2 2 2" xfId="8792"/>
    <cellStyle name="计算 2 3 3 2 3" xfId="8793"/>
    <cellStyle name="计算 2 3 3 2 3 2" xfId="8794"/>
    <cellStyle name="计算 2 3 3 2 4" xfId="8795"/>
    <cellStyle name="计算 2 3 3 2 4 2" xfId="8796"/>
    <cellStyle name="计算 2 3 3 2 5" xfId="8797"/>
    <cellStyle name="计算 2 3 3 2 5 2" xfId="8798"/>
    <cellStyle name="计算 2 3 3 2 6" xfId="8799"/>
    <cellStyle name="计算 2 3 3 2 6 2" xfId="8800"/>
    <cellStyle name="计算 2 3 3 2 7" xfId="8801"/>
    <cellStyle name="计算 2 3 3 2 7 2" xfId="8802"/>
    <cellStyle name="计算 2 3 3 2 7 2 2" xfId="8803"/>
    <cellStyle name="计算 2 3 3 2 7 2 2 2" xfId="8804"/>
    <cellStyle name="计算 2 3 3 2 7 3" xfId="8805"/>
    <cellStyle name="计算 2 3 3 2 7 3 2" xfId="8806"/>
    <cellStyle name="计算 2 3 3 2 8" xfId="8807"/>
    <cellStyle name="计算 2 3 3 2 8 2" xfId="8808"/>
    <cellStyle name="计算 2 3 3 3" xfId="8809"/>
    <cellStyle name="计算 2 3 3 3 2" xfId="8810"/>
    <cellStyle name="计算 2 3 3 4" xfId="8811"/>
    <cellStyle name="计算 2 3 3 4 2" xfId="8812"/>
    <cellStyle name="计算 2 3 3 5" xfId="8813"/>
    <cellStyle name="计算 2 3 3 5 2" xfId="8814"/>
    <cellStyle name="计算 2 3 3 6" xfId="8815"/>
    <cellStyle name="计算 2 3 3 6 2" xfId="8816"/>
    <cellStyle name="计算 2 3 3 7" xfId="8817"/>
    <cellStyle name="计算 2 3 3 7 2" xfId="8818"/>
    <cellStyle name="计算 2 3 4" xfId="2699"/>
    <cellStyle name="计算 2 3 4 2" xfId="8819"/>
    <cellStyle name="计算 2 3 4 2 2" xfId="8820"/>
    <cellStyle name="计算 2 3 4 3" xfId="8821"/>
    <cellStyle name="计算 2 3 4 3 2" xfId="8822"/>
    <cellStyle name="计算 2 3 4 4" xfId="8823"/>
    <cellStyle name="计算 2 3 4 4 2" xfId="8824"/>
    <cellStyle name="计算 2 3 4 5" xfId="8825"/>
    <cellStyle name="计算 2 3 4 5 2" xfId="8826"/>
    <cellStyle name="计算 2 3 4 6" xfId="8827"/>
    <cellStyle name="计算 2 3 4 6 2" xfId="8828"/>
    <cellStyle name="计算 2 3 4 7" xfId="8829"/>
    <cellStyle name="计算 2 3 4 7 2" xfId="8830"/>
    <cellStyle name="计算 2 3 4 7 2 2" xfId="8831"/>
    <cellStyle name="计算 2 3 4 7 2 2 2" xfId="8832"/>
    <cellStyle name="计算 2 3 4 7 3" xfId="8833"/>
    <cellStyle name="计算 2 3 4 7 3 2" xfId="8834"/>
    <cellStyle name="计算 2 3 4 8" xfId="8835"/>
    <cellStyle name="计算 2 3 4 8 2" xfId="8836"/>
    <cellStyle name="计算 2 3 5" xfId="4548"/>
    <cellStyle name="计算 2 3 5 2" xfId="8837"/>
    <cellStyle name="计算 2 3 5 2 2" xfId="8838"/>
    <cellStyle name="计算 2 3 5 3" xfId="8839"/>
    <cellStyle name="计算 2 3 5 3 2" xfId="8840"/>
    <cellStyle name="计算 2 3 5 4" xfId="8841"/>
    <cellStyle name="计算 2 3 5 4 2" xfId="8842"/>
    <cellStyle name="计算 2 3 5 5" xfId="8843"/>
    <cellStyle name="计算 2 3 5 5 2" xfId="8844"/>
    <cellStyle name="计算 2 3 5 6" xfId="8845"/>
    <cellStyle name="计算 2 3 5 6 2" xfId="8846"/>
    <cellStyle name="计算 2 3 5 7" xfId="8847"/>
    <cellStyle name="计算 2 3 5 7 2" xfId="8848"/>
    <cellStyle name="计算 2 3 5 7 2 2" xfId="8849"/>
    <cellStyle name="计算 2 3 5 7 2 2 2" xfId="8850"/>
    <cellStyle name="计算 2 3 5 7 3" xfId="8851"/>
    <cellStyle name="计算 2 3 5 7 3 2" xfId="8852"/>
    <cellStyle name="计算 2 3 5 8" xfId="8853"/>
    <cellStyle name="计算 2 3 5 8 2" xfId="8854"/>
    <cellStyle name="计算 2 3 6" xfId="8855"/>
    <cellStyle name="计算 2 3 6 2" xfId="8856"/>
    <cellStyle name="计算 2 3 7" xfId="8857"/>
    <cellStyle name="计算 2 3 7 2" xfId="8858"/>
    <cellStyle name="计算 2 3 8" xfId="8859"/>
    <cellStyle name="计算 2 3 8 2" xfId="8860"/>
    <cellStyle name="计算 2 3 9" xfId="8861"/>
    <cellStyle name="计算 2 3 9 2" xfId="8862"/>
    <cellStyle name="计算 2 4" xfId="2037"/>
    <cellStyle name="计算 2 4 2" xfId="1300"/>
    <cellStyle name="计算 2 4 2 2" xfId="4553"/>
    <cellStyle name="计算 2 4 2 2 2" xfId="8863"/>
    <cellStyle name="计算 2 4 2 2 2 2" xfId="8864"/>
    <cellStyle name="计算 2 4 2 2 3" xfId="8865"/>
    <cellStyle name="计算 2 4 2 2 3 2" xfId="8866"/>
    <cellStyle name="计算 2 4 2 2 4" xfId="8867"/>
    <cellStyle name="计算 2 4 2 2 4 2" xfId="8868"/>
    <cellStyle name="计算 2 4 2 2 5" xfId="8869"/>
    <cellStyle name="计算 2 4 2 2 5 2" xfId="8870"/>
    <cellStyle name="计算 2 4 2 2 6" xfId="8871"/>
    <cellStyle name="计算 2 4 2 2 6 2" xfId="8872"/>
    <cellStyle name="计算 2 4 2 2 7" xfId="8873"/>
    <cellStyle name="计算 2 4 2 2 7 2" xfId="8874"/>
    <cellStyle name="计算 2 4 2 2 7 2 2" xfId="8875"/>
    <cellStyle name="计算 2 4 2 2 7 2 2 2" xfId="8876"/>
    <cellStyle name="计算 2 4 2 2 7 3" xfId="8877"/>
    <cellStyle name="计算 2 4 2 2 7 3 2" xfId="8878"/>
    <cellStyle name="计算 2 4 2 2 8" xfId="8879"/>
    <cellStyle name="计算 2 4 2 2 8 2" xfId="8880"/>
    <cellStyle name="计算 2 4 2 3" xfId="8881"/>
    <cellStyle name="计算 2 4 2 3 2" xfId="8882"/>
    <cellStyle name="计算 2 4 2 4" xfId="8883"/>
    <cellStyle name="计算 2 4 2 4 2" xfId="8884"/>
    <cellStyle name="计算 2 4 2 5" xfId="8885"/>
    <cellStyle name="计算 2 4 2 5 2" xfId="8886"/>
    <cellStyle name="计算 2 4 2 6" xfId="8887"/>
    <cellStyle name="计算 2 4 2 6 2" xfId="8888"/>
    <cellStyle name="计算 2 4 2 7" xfId="8889"/>
    <cellStyle name="计算 2 4 2 7 2" xfId="8890"/>
    <cellStyle name="计算 2 4 3" xfId="4552"/>
    <cellStyle name="计算 2 4 3 2" xfId="8891"/>
    <cellStyle name="计算 2 4 3 2 2" xfId="8892"/>
    <cellStyle name="计算 2 4 3 3" xfId="8893"/>
    <cellStyle name="计算 2 4 3 3 2" xfId="8894"/>
    <cellStyle name="计算 2 4 3 4" xfId="8895"/>
    <cellStyle name="计算 2 4 3 4 2" xfId="8896"/>
    <cellStyle name="计算 2 4 3 5" xfId="8897"/>
    <cellStyle name="计算 2 4 3 5 2" xfId="8898"/>
    <cellStyle name="计算 2 4 3 6" xfId="8899"/>
    <cellStyle name="计算 2 4 3 6 2" xfId="8900"/>
    <cellStyle name="计算 2 4 3 7" xfId="8901"/>
    <cellStyle name="计算 2 4 3 7 2" xfId="8902"/>
    <cellStyle name="计算 2 4 3 7 2 2" xfId="8903"/>
    <cellStyle name="计算 2 4 3 7 2 2 2" xfId="8904"/>
    <cellStyle name="计算 2 4 3 7 3" xfId="8905"/>
    <cellStyle name="计算 2 4 3 7 3 2" xfId="8906"/>
    <cellStyle name="计算 2 4 3 8" xfId="8907"/>
    <cellStyle name="计算 2 4 3 8 2" xfId="8908"/>
    <cellStyle name="计算 2 4 4" xfId="8909"/>
    <cellStyle name="计算 2 4 4 2" xfId="8910"/>
    <cellStyle name="计算 2 4 5" xfId="8911"/>
    <cellStyle name="计算 2 4 5 2" xfId="8912"/>
    <cellStyle name="计算 2 4 6" xfId="8913"/>
    <cellStyle name="计算 2 4 6 2" xfId="8914"/>
    <cellStyle name="计算 2 4 7" xfId="8915"/>
    <cellStyle name="计算 2 4 7 2" xfId="8916"/>
    <cellStyle name="计算 2 4 8" xfId="8917"/>
    <cellStyle name="计算 2 4 8 2" xfId="8918"/>
    <cellStyle name="计算 2 5" xfId="2038"/>
    <cellStyle name="计算 2 5 2" xfId="4554"/>
    <cellStyle name="计算 2 5 2 2" xfId="8919"/>
    <cellStyle name="计算 2 5 2 2 2" xfId="8920"/>
    <cellStyle name="计算 2 5 2 3" xfId="8921"/>
    <cellStyle name="计算 2 5 2 3 2" xfId="8922"/>
    <cellStyle name="计算 2 5 2 4" xfId="8923"/>
    <cellStyle name="计算 2 5 2 4 2" xfId="8924"/>
    <cellStyle name="计算 2 5 2 5" xfId="8925"/>
    <cellStyle name="计算 2 5 2 5 2" xfId="8926"/>
    <cellStyle name="计算 2 5 2 6" xfId="8927"/>
    <cellStyle name="计算 2 5 2 6 2" xfId="8928"/>
    <cellStyle name="计算 2 5 2 7" xfId="8929"/>
    <cellStyle name="计算 2 5 2 7 2" xfId="8930"/>
    <cellStyle name="计算 2 5 2 7 2 2" xfId="8931"/>
    <cellStyle name="计算 2 5 2 7 2 2 2" xfId="8932"/>
    <cellStyle name="计算 2 5 2 7 3" xfId="8933"/>
    <cellStyle name="计算 2 5 2 7 3 2" xfId="8934"/>
    <cellStyle name="计算 2 5 2 8" xfId="8935"/>
    <cellStyle name="计算 2 5 2 8 2" xfId="8936"/>
    <cellStyle name="计算 2 5 3" xfId="8937"/>
    <cellStyle name="计算 2 5 3 2" xfId="8938"/>
    <cellStyle name="计算 2 5 4" xfId="8939"/>
    <cellStyle name="计算 2 5 4 2" xfId="8940"/>
    <cellStyle name="计算 2 5 5" xfId="8941"/>
    <cellStyle name="计算 2 5 5 2" xfId="8942"/>
    <cellStyle name="计算 2 5 6" xfId="8943"/>
    <cellStyle name="计算 2 5 6 2" xfId="8944"/>
    <cellStyle name="计算 2 5 7" xfId="8945"/>
    <cellStyle name="计算 2 5 7 2" xfId="8946"/>
    <cellStyle name="计算 2 6" xfId="2695"/>
    <cellStyle name="计算 2 6 2" xfId="8947"/>
    <cellStyle name="计算 2 6 2 2" xfId="8948"/>
    <cellStyle name="计算 2 6 3" xfId="8949"/>
    <cellStyle name="计算 2 6 3 2" xfId="8950"/>
    <cellStyle name="计算 2 6 4" xfId="8951"/>
    <cellStyle name="计算 2 6 4 2" xfId="8952"/>
    <cellStyle name="计算 2 6 5" xfId="8953"/>
    <cellStyle name="计算 2 6 5 2" xfId="8954"/>
    <cellStyle name="计算 2 6 6" xfId="8955"/>
    <cellStyle name="计算 2 6 6 2" xfId="8956"/>
    <cellStyle name="计算 2 6 7" xfId="8957"/>
    <cellStyle name="计算 2 6 7 2" xfId="8958"/>
    <cellStyle name="计算 2 6 7 2 2" xfId="8959"/>
    <cellStyle name="计算 2 6 7 2 2 2" xfId="8960"/>
    <cellStyle name="计算 2 6 7 3" xfId="8961"/>
    <cellStyle name="计算 2 6 7 3 2" xfId="8962"/>
    <cellStyle name="计算 2 6 8" xfId="8963"/>
    <cellStyle name="计算 2 6 8 2" xfId="8964"/>
    <cellStyle name="计算 2 7" xfId="4546"/>
    <cellStyle name="计算 2 7 2" xfId="8965"/>
    <cellStyle name="计算 2 7 2 2" xfId="8966"/>
    <cellStyle name="计算 2 7 3" xfId="8967"/>
    <cellStyle name="计算 2 7 3 2" xfId="8968"/>
    <cellStyle name="计算 2 7 4" xfId="8969"/>
    <cellStyle name="计算 2 7 4 2" xfId="8970"/>
    <cellStyle name="计算 2 7 5" xfId="8971"/>
    <cellStyle name="计算 2 7 5 2" xfId="8972"/>
    <cellStyle name="计算 2 7 6" xfId="8973"/>
    <cellStyle name="计算 2 7 6 2" xfId="8974"/>
    <cellStyle name="计算 2 7 7" xfId="8975"/>
    <cellStyle name="计算 2 7 7 2" xfId="8976"/>
    <cellStyle name="计算 2 7 7 2 2" xfId="8977"/>
    <cellStyle name="计算 2 7 7 2 2 2" xfId="8978"/>
    <cellStyle name="计算 2 7 7 3" xfId="8979"/>
    <cellStyle name="计算 2 7 7 3 2" xfId="8980"/>
    <cellStyle name="计算 2 7 8" xfId="8981"/>
    <cellStyle name="计算 2 7 8 2" xfId="8982"/>
    <cellStyle name="计算 2 8" xfId="8983"/>
    <cellStyle name="计算 2 8 2" xfId="8984"/>
    <cellStyle name="计算 2 9" xfId="8985"/>
    <cellStyle name="计算 2 9 2" xfId="8986"/>
    <cellStyle name="计算 3" xfId="2039"/>
    <cellStyle name="计算 3 10" xfId="8987"/>
    <cellStyle name="计算 3 10 2" xfId="8988"/>
    <cellStyle name="计算 3 2" xfId="2040"/>
    <cellStyle name="计算 3 2 2" xfId="2041"/>
    <cellStyle name="计算 3 2 2 2" xfId="2042"/>
    <cellStyle name="计算 3 2 2 2 2" xfId="4557"/>
    <cellStyle name="计算 3 2 2 2 2 2" xfId="8989"/>
    <cellStyle name="计算 3 2 2 2 2 2 2" xfId="8990"/>
    <cellStyle name="计算 3 2 2 2 2 3" xfId="8991"/>
    <cellStyle name="计算 3 2 2 2 2 3 2" xfId="8992"/>
    <cellStyle name="计算 3 2 2 2 2 4" xfId="8993"/>
    <cellStyle name="计算 3 2 2 2 2 4 2" xfId="8994"/>
    <cellStyle name="计算 3 2 2 2 2 5" xfId="8995"/>
    <cellStyle name="计算 3 2 2 2 2 5 2" xfId="8996"/>
    <cellStyle name="计算 3 2 2 2 2 6" xfId="8997"/>
    <cellStyle name="计算 3 2 2 2 2 6 2" xfId="8998"/>
    <cellStyle name="计算 3 2 2 2 2 7" xfId="8999"/>
    <cellStyle name="计算 3 2 2 2 2 7 2" xfId="9000"/>
    <cellStyle name="计算 3 2 2 2 2 7 2 2" xfId="9001"/>
    <cellStyle name="计算 3 2 2 2 2 7 2 2 2" xfId="9002"/>
    <cellStyle name="计算 3 2 2 2 2 7 3" xfId="9003"/>
    <cellStyle name="计算 3 2 2 2 2 7 3 2" xfId="9004"/>
    <cellStyle name="计算 3 2 2 2 2 8" xfId="9005"/>
    <cellStyle name="计算 3 2 2 2 2 8 2" xfId="9006"/>
    <cellStyle name="计算 3 2 2 2 3" xfId="9007"/>
    <cellStyle name="计算 3 2 2 2 3 2" xfId="9008"/>
    <cellStyle name="计算 3 2 2 2 4" xfId="9009"/>
    <cellStyle name="计算 3 2 2 2 4 2" xfId="9010"/>
    <cellStyle name="计算 3 2 2 2 5" xfId="9011"/>
    <cellStyle name="计算 3 2 2 2 5 2" xfId="9012"/>
    <cellStyle name="计算 3 2 2 2 6" xfId="9013"/>
    <cellStyle name="计算 3 2 2 2 6 2" xfId="9014"/>
    <cellStyle name="计算 3 2 2 2 7" xfId="9015"/>
    <cellStyle name="计算 3 2 2 2 7 2" xfId="9016"/>
    <cellStyle name="计算 3 2 2 3" xfId="4556"/>
    <cellStyle name="计算 3 2 2 3 2" xfId="9017"/>
    <cellStyle name="计算 3 2 2 3 2 2" xfId="9018"/>
    <cellStyle name="计算 3 2 2 3 3" xfId="9019"/>
    <cellStyle name="计算 3 2 2 3 3 2" xfId="9020"/>
    <cellStyle name="计算 3 2 2 3 4" xfId="9021"/>
    <cellStyle name="计算 3 2 2 3 4 2" xfId="9022"/>
    <cellStyle name="计算 3 2 2 3 5" xfId="9023"/>
    <cellStyle name="计算 3 2 2 3 5 2" xfId="9024"/>
    <cellStyle name="计算 3 2 2 3 6" xfId="9025"/>
    <cellStyle name="计算 3 2 2 3 6 2" xfId="9026"/>
    <cellStyle name="计算 3 2 2 3 7" xfId="9027"/>
    <cellStyle name="计算 3 2 2 3 7 2" xfId="9028"/>
    <cellStyle name="计算 3 2 2 3 7 2 2" xfId="9029"/>
    <cellStyle name="计算 3 2 2 3 7 2 2 2" xfId="9030"/>
    <cellStyle name="计算 3 2 2 3 7 3" xfId="9031"/>
    <cellStyle name="计算 3 2 2 3 7 3 2" xfId="9032"/>
    <cellStyle name="计算 3 2 2 3 8" xfId="9033"/>
    <cellStyle name="计算 3 2 2 3 8 2" xfId="9034"/>
    <cellStyle name="计算 3 2 2 4" xfId="9035"/>
    <cellStyle name="计算 3 2 2 4 2" xfId="9036"/>
    <cellStyle name="计算 3 2 2 5" xfId="9037"/>
    <cellStyle name="计算 3 2 2 5 2" xfId="9038"/>
    <cellStyle name="计算 3 2 2 6" xfId="9039"/>
    <cellStyle name="计算 3 2 2 6 2" xfId="9040"/>
    <cellStyle name="计算 3 2 2 7" xfId="9041"/>
    <cellStyle name="计算 3 2 2 7 2" xfId="9042"/>
    <cellStyle name="计算 3 2 2 8" xfId="9043"/>
    <cellStyle name="计算 3 2 2 8 2" xfId="9044"/>
    <cellStyle name="计算 3 2 3" xfId="2043"/>
    <cellStyle name="计算 3 2 3 2" xfId="4558"/>
    <cellStyle name="计算 3 2 3 2 2" xfId="9045"/>
    <cellStyle name="计算 3 2 3 2 2 2" xfId="9046"/>
    <cellStyle name="计算 3 2 3 2 3" xfId="9047"/>
    <cellStyle name="计算 3 2 3 2 3 2" xfId="9048"/>
    <cellStyle name="计算 3 2 3 2 4" xfId="9049"/>
    <cellStyle name="计算 3 2 3 2 4 2" xfId="9050"/>
    <cellStyle name="计算 3 2 3 2 5" xfId="9051"/>
    <cellStyle name="计算 3 2 3 2 5 2" xfId="9052"/>
    <cellStyle name="计算 3 2 3 2 6" xfId="9053"/>
    <cellStyle name="计算 3 2 3 2 6 2" xfId="9054"/>
    <cellStyle name="计算 3 2 3 2 7" xfId="9055"/>
    <cellStyle name="计算 3 2 3 2 7 2" xfId="9056"/>
    <cellStyle name="计算 3 2 3 2 7 2 2" xfId="9057"/>
    <cellStyle name="计算 3 2 3 2 7 2 2 2" xfId="9058"/>
    <cellStyle name="计算 3 2 3 2 7 3" xfId="9059"/>
    <cellStyle name="计算 3 2 3 2 7 3 2" xfId="9060"/>
    <cellStyle name="计算 3 2 3 2 8" xfId="9061"/>
    <cellStyle name="计算 3 2 3 2 8 2" xfId="9062"/>
    <cellStyle name="计算 3 2 3 3" xfId="9063"/>
    <cellStyle name="计算 3 2 3 3 2" xfId="9064"/>
    <cellStyle name="计算 3 2 3 4" xfId="9065"/>
    <cellStyle name="计算 3 2 3 4 2" xfId="9066"/>
    <cellStyle name="计算 3 2 3 5" xfId="9067"/>
    <cellStyle name="计算 3 2 3 5 2" xfId="9068"/>
    <cellStyle name="计算 3 2 3 6" xfId="9069"/>
    <cellStyle name="计算 3 2 3 6 2" xfId="9070"/>
    <cellStyle name="计算 3 2 3 7" xfId="9071"/>
    <cellStyle name="计算 3 2 3 7 2" xfId="9072"/>
    <cellStyle name="计算 3 2 4" xfId="4555"/>
    <cellStyle name="计算 3 2 4 2" xfId="9073"/>
    <cellStyle name="计算 3 2 4 2 2" xfId="9074"/>
    <cellStyle name="计算 3 2 4 3" xfId="9075"/>
    <cellStyle name="计算 3 2 4 3 2" xfId="9076"/>
    <cellStyle name="计算 3 2 4 4" xfId="9077"/>
    <cellStyle name="计算 3 2 4 4 2" xfId="9078"/>
    <cellStyle name="计算 3 2 4 5" xfId="9079"/>
    <cellStyle name="计算 3 2 4 5 2" xfId="9080"/>
    <cellStyle name="计算 3 2 4 6" xfId="9081"/>
    <cellStyle name="计算 3 2 4 6 2" xfId="9082"/>
    <cellStyle name="计算 3 2 4 7" xfId="9083"/>
    <cellStyle name="计算 3 2 4 7 2" xfId="9084"/>
    <cellStyle name="计算 3 2 4 7 2 2" xfId="9085"/>
    <cellStyle name="计算 3 2 4 7 2 2 2" xfId="9086"/>
    <cellStyle name="计算 3 2 4 7 3" xfId="9087"/>
    <cellStyle name="计算 3 2 4 7 3 2" xfId="9088"/>
    <cellStyle name="计算 3 2 4 8" xfId="9089"/>
    <cellStyle name="计算 3 2 4 8 2" xfId="9090"/>
    <cellStyle name="计算 3 2 5" xfId="9091"/>
    <cellStyle name="计算 3 2 5 2" xfId="9092"/>
    <cellStyle name="计算 3 2 6" xfId="9093"/>
    <cellStyle name="计算 3 2 6 2" xfId="9094"/>
    <cellStyle name="计算 3 2 7" xfId="9095"/>
    <cellStyle name="计算 3 2 7 2" xfId="9096"/>
    <cellStyle name="计算 3 2 8" xfId="9097"/>
    <cellStyle name="计算 3 2 8 2" xfId="9098"/>
    <cellStyle name="计算 3 2 9" xfId="9099"/>
    <cellStyle name="计算 3 2 9 2" xfId="9100"/>
    <cellStyle name="计算 3 3" xfId="2044"/>
    <cellStyle name="计算 3 3 2" xfId="1313"/>
    <cellStyle name="计算 3 3 2 2" xfId="4560"/>
    <cellStyle name="计算 3 3 2 2 2" xfId="9101"/>
    <cellStyle name="计算 3 3 2 2 2 2" xfId="9102"/>
    <cellStyle name="计算 3 3 2 2 3" xfId="9103"/>
    <cellStyle name="计算 3 3 2 2 3 2" xfId="9104"/>
    <cellStyle name="计算 3 3 2 2 4" xfId="9105"/>
    <cellStyle name="计算 3 3 2 2 4 2" xfId="9106"/>
    <cellStyle name="计算 3 3 2 2 5" xfId="9107"/>
    <cellStyle name="计算 3 3 2 2 5 2" xfId="9108"/>
    <cellStyle name="计算 3 3 2 2 6" xfId="9109"/>
    <cellStyle name="计算 3 3 2 2 6 2" xfId="9110"/>
    <cellStyle name="计算 3 3 2 2 7" xfId="9111"/>
    <cellStyle name="计算 3 3 2 2 7 2" xfId="9112"/>
    <cellStyle name="计算 3 3 2 2 7 2 2" xfId="9113"/>
    <cellStyle name="计算 3 3 2 2 7 2 2 2" xfId="9114"/>
    <cellStyle name="计算 3 3 2 2 7 3" xfId="9115"/>
    <cellStyle name="计算 3 3 2 2 7 3 2" xfId="9116"/>
    <cellStyle name="计算 3 3 2 2 8" xfId="9117"/>
    <cellStyle name="计算 3 3 2 2 8 2" xfId="9118"/>
    <cellStyle name="计算 3 3 2 3" xfId="9119"/>
    <cellStyle name="计算 3 3 2 3 2" xfId="9120"/>
    <cellStyle name="计算 3 3 2 4" xfId="9121"/>
    <cellStyle name="计算 3 3 2 4 2" xfId="9122"/>
    <cellStyle name="计算 3 3 2 5" xfId="9123"/>
    <cellStyle name="计算 3 3 2 5 2" xfId="9124"/>
    <cellStyle name="计算 3 3 2 6" xfId="9125"/>
    <cellStyle name="计算 3 3 2 6 2" xfId="9126"/>
    <cellStyle name="计算 3 3 2 7" xfId="9127"/>
    <cellStyle name="计算 3 3 2 7 2" xfId="9128"/>
    <cellStyle name="计算 3 3 3" xfId="4559"/>
    <cellStyle name="计算 3 3 3 2" xfId="9129"/>
    <cellStyle name="计算 3 3 3 2 2" xfId="9130"/>
    <cellStyle name="计算 3 3 3 3" xfId="9131"/>
    <cellStyle name="计算 3 3 3 3 2" xfId="9132"/>
    <cellStyle name="计算 3 3 3 4" xfId="9133"/>
    <cellStyle name="计算 3 3 3 4 2" xfId="9134"/>
    <cellStyle name="计算 3 3 3 5" xfId="9135"/>
    <cellStyle name="计算 3 3 3 5 2" xfId="9136"/>
    <cellStyle name="计算 3 3 3 6" xfId="9137"/>
    <cellStyle name="计算 3 3 3 6 2" xfId="9138"/>
    <cellStyle name="计算 3 3 3 7" xfId="9139"/>
    <cellStyle name="计算 3 3 3 7 2" xfId="9140"/>
    <cellStyle name="计算 3 3 3 7 2 2" xfId="9141"/>
    <cellStyle name="计算 3 3 3 7 2 2 2" xfId="9142"/>
    <cellStyle name="计算 3 3 3 7 3" xfId="9143"/>
    <cellStyle name="计算 3 3 3 7 3 2" xfId="9144"/>
    <cellStyle name="计算 3 3 3 8" xfId="9145"/>
    <cellStyle name="计算 3 3 3 8 2" xfId="9146"/>
    <cellStyle name="计算 3 3 4" xfId="9147"/>
    <cellStyle name="计算 3 3 4 2" xfId="9148"/>
    <cellStyle name="计算 3 3 5" xfId="9149"/>
    <cellStyle name="计算 3 3 5 2" xfId="9150"/>
    <cellStyle name="计算 3 3 6" xfId="9151"/>
    <cellStyle name="计算 3 3 6 2" xfId="9152"/>
    <cellStyle name="计算 3 3 7" xfId="9153"/>
    <cellStyle name="计算 3 3 7 2" xfId="9154"/>
    <cellStyle name="计算 3 3 8" xfId="9155"/>
    <cellStyle name="计算 3 3 8 2" xfId="9156"/>
    <cellStyle name="计算 3 4" xfId="2045"/>
    <cellStyle name="计算 3 4 2" xfId="4561"/>
    <cellStyle name="计算 3 4 2 2" xfId="9157"/>
    <cellStyle name="计算 3 4 2 2 2" xfId="9158"/>
    <cellStyle name="计算 3 4 2 3" xfId="9159"/>
    <cellStyle name="计算 3 4 2 3 2" xfId="9160"/>
    <cellStyle name="计算 3 4 2 4" xfId="9161"/>
    <cellStyle name="计算 3 4 2 4 2" xfId="9162"/>
    <cellStyle name="计算 3 4 2 5" xfId="9163"/>
    <cellStyle name="计算 3 4 2 5 2" xfId="9164"/>
    <cellStyle name="计算 3 4 2 6" xfId="9165"/>
    <cellStyle name="计算 3 4 2 6 2" xfId="9166"/>
    <cellStyle name="计算 3 4 2 7" xfId="9167"/>
    <cellStyle name="计算 3 4 2 7 2" xfId="9168"/>
    <cellStyle name="计算 3 4 2 7 2 2" xfId="9169"/>
    <cellStyle name="计算 3 4 2 7 2 2 2" xfId="9170"/>
    <cellStyle name="计算 3 4 2 7 3" xfId="9171"/>
    <cellStyle name="计算 3 4 2 7 3 2" xfId="9172"/>
    <cellStyle name="计算 3 4 2 8" xfId="9173"/>
    <cellStyle name="计算 3 4 2 8 2" xfId="9174"/>
    <cellStyle name="计算 3 4 3" xfId="9175"/>
    <cellStyle name="计算 3 4 3 2" xfId="9176"/>
    <cellStyle name="计算 3 4 4" xfId="9177"/>
    <cellStyle name="计算 3 4 4 2" xfId="9178"/>
    <cellStyle name="计算 3 4 5" xfId="9179"/>
    <cellStyle name="计算 3 4 5 2" xfId="9180"/>
    <cellStyle name="计算 3 4 6" xfId="9181"/>
    <cellStyle name="计算 3 4 6 2" xfId="9182"/>
    <cellStyle name="计算 3 4 7" xfId="9183"/>
    <cellStyle name="计算 3 4 7 2" xfId="9184"/>
    <cellStyle name="计算 3 5" xfId="2700"/>
    <cellStyle name="计算 3 5 2" xfId="9185"/>
    <cellStyle name="计算 3 5 2 2" xfId="9186"/>
    <cellStyle name="计算 3 5 3" xfId="9187"/>
    <cellStyle name="计算 3 5 3 2" xfId="9188"/>
    <cellStyle name="计算 3 5 4" xfId="9189"/>
    <cellStyle name="计算 3 5 4 2" xfId="9190"/>
    <cellStyle name="计算 3 5 5" xfId="9191"/>
    <cellStyle name="计算 3 5 5 2" xfId="9192"/>
    <cellStyle name="计算 3 5 6" xfId="9193"/>
    <cellStyle name="计算 3 5 6 2" xfId="9194"/>
    <cellStyle name="计算 3 5 7" xfId="9195"/>
    <cellStyle name="计算 3 5 7 2" xfId="9196"/>
    <cellStyle name="计算 3 5 7 2 2" xfId="9197"/>
    <cellStyle name="计算 3 5 7 2 2 2" xfId="9198"/>
    <cellStyle name="计算 3 5 7 3" xfId="9199"/>
    <cellStyle name="计算 3 5 7 3 2" xfId="9200"/>
    <cellStyle name="计算 3 5 8" xfId="9201"/>
    <cellStyle name="计算 3 5 8 2" xfId="9202"/>
    <cellStyle name="计算 3 6" xfId="9203"/>
    <cellStyle name="计算 3 6 2" xfId="9204"/>
    <cellStyle name="计算 3 7" xfId="9205"/>
    <cellStyle name="计算 3 7 2" xfId="9206"/>
    <cellStyle name="计算 3 8" xfId="9207"/>
    <cellStyle name="计算 3 8 2" xfId="9208"/>
    <cellStyle name="计算 3 9" xfId="9209"/>
    <cellStyle name="计算 3 9 2" xfId="9210"/>
    <cellStyle name="计算 4" xfId="2046"/>
    <cellStyle name="计算 4 2" xfId="2047"/>
    <cellStyle name="计算 4 2 2" xfId="2048"/>
    <cellStyle name="计算 4 2 2 2" xfId="4564"/>
    <cellStyle name="计算 4 2 2 2 2" xfId="9211"/>
    <cellStyle name="计算 4 2 2 2 2 2" xfId="9212"/>
    <cellStyle name="计算 4 2 2 2 3" xfId="9213"/>
    <cellStyle name="计算 4 2 2 2 3 2" xfId="9214"/>
    <cellStyle name="计算 4 2 2 2 4" xfId="9215"/>
    <cellStyle name="计算 4 2 2 2 4 2" xfId="9216"/>
    <cellStyle name="计算 4 2 2 2 5" xfId="9217"/>
    <cellStyle name="计算 4 2 2 2 5 2" xfId="9218"/>
    <cellStyle name="计算 4 2 2 2 6" xfId="9219"/>
    <cellStyle name="计算 4 2 2 2 6 2" xfId="9220"/>
    <cellStyle name="计算 4 2 2 2 7" xfId="9221"/>
    <cellStyle name="计算 4 2 2 2 7 2" xfId="9222"/>
    <cellStyle name="计算 4 2 2 2 7 2 2" xfId="9223"/>
    <cellStyle name="计算 4 2 2 2 7 2 2 2" xfId="9224"/>
    <cellStyle name="计算 4 2 2 2 7 3" xfId="9225"/>
    <cellStyle name="计算 4 2 2 2 7 3 2" xfId="9226"/>
    <cellStyle name="计算 4 2 2 2 8" xfId="9227"/>
    <cellStyle name="计算 4 2 2 2 8 2" xfId="9228"/>
    <cellStyle name="计算 4 2 2 3" xfId="9229"/>
    <cellStyle name="计算 4 2 2 3 2" xfId="9230"/>
    <cellStyle name="计算 4 2 2 4" xfId="9231"/>
    <cellStyle name="计算 4 2 2 4 2" xfId="9232"/>
    <cellStyle name="计算 4 2 2 5" xfId="9233"/>
    <cellStyle name="计算 4 2 2 5 2" xfId="9234"/>
    <cellStyle name="计算 4 2 2 6" xfId="9235"/>
    <cellStyle name="计算 4 2 2 6 2" xfId="9236"/>
    <cellStyle name="计算 4 2 2 7" xfId="9237"/>
    <cellStyle name="计算 4 2 2 7 2" xfId="9238"/>
    <cellStyle name="计算 4 2 3" xfId="4563"/>
    <cellStyle name="计算 4 2 3 2" xfId="9239"/>
    <cellStyle name="计算 4 2 3 2 2" xfId="9240"/>
    <cellStyle name="计算 4 2 3 3" xfId="9241"/>
    <cellStyle name="计算 4 2 3 3 2" xfId="9242"/>
    <cellStyle name="计算 4 2 3 4" xfId="9243"/>
    <cellStyle name="计算 4 2 3 4 2" xfId="9244"/>
    <cellStyle name="计算 4 2 3 5" xfId="9245"/>
    <cellStyle name="计算 4 2 3 5 2" xfId="9246"/>
    <cellStyle name="计算 4 2 3 6" xfId="9247"/>
    <cellStyle name="计算 4 2 3 6 2" xfId="9248"/>
    <cellStyle name="计算 4 2 3 7" xfId="9249"/>
    <cellStyle name="计算 4 2 3 7 2" xfId="9250"/>
    <cellStyle name="计算 4 2 3 7 2 2" xfId="9251"/>
    <cellStyle name="计算 4 2 3 7 2 2 2" xfId="9252"/>
    <cellStyle name="计算 4 2 3 7 3" xfId="9253"/>
    <cellStyle name="计算 4 2 3 7 3 2" xfId="9254"/>
    <cellStyle name="计算 4 2 3 8" xfId="9255"/>
    <cellStyle name="计算 4 2 3 8 2" xfId="9256"/>
    <cellStyle name="计算 4 2 4" xfId="9257"/>
    <cellStyle name="计算 4 2 4 2" xfId="9258"/>
    <cellStyle name="计算 4 2 5" xfId="9259"/>
    <cellStyle name="计算 4 2 5 2" xfId="9260"/>
    <cellStyle name="计算 4 2 6" xfId="9261"/>
    <cellStyle name="计算 4 2 6 2" xfId="9262"/>
    <cellStyle name="计算 4 2 7" xfId="9263"/>
    <cellStyle name="计算 4 2 7 2" xfId="9264"/>
    <cellStyle name="计算 4 2 8" xfId="9265"/>
    <cellStyle name="计算 4 2 8 2" xfId="9266"/>
    <cellStyle name="计算 4 3" xfId="2049"/>
    <cellStyle name="计算 4 3 2" xfId="4565"/>
    <cellStyle name="计算 4 3 2 2" xfId="9267"/>
    <cellStyle name="计算 4 3 2 2 2" xfId="9268"/>
    <cellStyle name="计算 4 3 2 3" xfId="9269"/>
    <cellStyle name="计算 4 3 2 3 2" xfId="9270"/>
    <cellStyle name="计算 4 3 2 4" xfId="9271"/>
    <cellStyle name="计算 4 3 2 4 2" xfId="9272"/>
    <cellStyle name="计算 4 3 2 5" xfId="9273"/>
    <cellStyle name="计算 4 3 2 5 2" xfId="9274"/>
    <cellStyle name="计算 4 3 2 6" xfId="9275"/>
    <cellStyle name="计算 4 3 2 6 2" xfId="9276"/>
    <cellStyle name="计算 4 3 2 7" xfId="9277"/>
    <cellStyle name="计算 4 3 2 7 2" xfId="9278"/>
    <cellStyle name="计算 4 3 2 7 2 2" xfId="9279"/>
    <cellStyle name="计算 4 3 2 7 2 2 2" xfId="9280"/>
    <cellStyle name="计算 4 3 2 7 3" xfId="9281"/>
    <cellStyle name="计算 4 3 2 7 3 2" xfId="9282"/>
    <cellStyle name="计算 4 3 2 8" xfId="9283"/>
    <cellStyle name="计算 4 3 2 8 2" xfId="9284"/>
    <cellStyle name="计算 4 3 3" xfId="9285"/>
    <cellStyle name="计算 4 3 3 2" xfId="9286"/>
    <cellStyle name="计算 4 3 4" xfId="9287"/>
    <cellStyle name="计算 4 3 4 2" xfId="9288"/>
    <cellStyle name="计算 4 3 5" xfId="9289"/>
    <cellStyle name="计算 4 3 5 2" xfId="9290"/>
    <cellStyle name="计算 4 3 6" xfId="9291"/>
    <cellStyle name="计算 4 3 6 2" xfId="9292"/>
    <cellStyle name="计算 4 3 7" xfId="9293"/>
    <cellStyle name="计算 4 3 7 2" xfId="9294"/>
    <cellStyle name="计算 4 4" xfId="4562"/>
    <cellStyle name="计算 4 4 2" xfId="9295"/>
    <cellStyle name="计算 4 4 2 2" xfId="9296"/>
    <cellStyle name="计算 4 4 3" xfId="9297"/>
    <cellStyle name="计算 4 4 3 2" xfId="9298"/>
    <cellStyle name="计算 4 4 4" xfId="9299"/>
    <cellStyle name="计算 4 4 4 2" xfId="9300"/>
    <cellStyle name="计算 4 4 5" xfId="9301"/>
    <cellStyle name="计算 4 4 5 2" xfId="9302"/>
    <cellStyle name="计算 4 4 6" xfId="9303"/>
    <cellStyle name="计算 4 4 6 2" xfId="9304"/>
    <cellStyle name="计算 4 4 7" xfId="9305"/>
    <cellStyle name="计算 4 4 7 2" xfId="9306"/>
    <cellStyle name="计算 4 4 7 2 2" xfId="9307"/>
    <cellStyle name="计算 4 4 7 2 2 2" xfId="9308"/>
    <cellStyle name="计算 4 4 7 3" xfId="9309"/>
    <cellStyle name="计算 4 4 7 3 2" xfId="9310"/>
    <cellStyle name="计算 4 4 8" xfId="9311"/>
    <cellStyle name="计算 4 4 8 2" xfId="9312"/>
    <cellStyle name="计算 4 5" xfId="9313"/>
    <cellStyle name="计算 4 5 2" xfId="9314"/>
    <cellStyle name="计算 4 6" xfId="9315"/>
    <cellStyle name="计算 4 6 2" xfId="9316"/>
    <cellStyle name="计算 4 7" xfId="9317"/>
    <cellStyle name="计算 4 7 2" xfId="9318"/>
    <cellStyle name="计算 4 8" xfId="9319"/>
    <cellStyle name="计算 4 8 2" xfId="9320"/>
    <cellStyle name="计算 4 9" xfId="9321"/>
    <cellStyle name="计算 4 9 2" xfId="9322"/>
    <cellStyle name="计算 5" xfId="1048"/>
    <cellStyle name="计算 5 2" xfId="2050"/>
    <cellStyle name="计算 5 2 2" xfId="2051"/>
    <cellStyle name="计算 5 2 2 2" xfId="4568"/>
    <cellStyle name="计算 5 2 2 2 2" xfId="9323"/>
    <cellStyle name="计算 5 2 2 2 2 2" xfId="9324"/>
    <cellStyle name="计算 5 2 2 2 3" xfId="9325"/>
    <cellStyle name="计算 5 2 2 2 3 2" xfId="9326"/>
    <cellStyle name="计算 5 2 2 2 4" xfId="9327"/>
    <cellStyle name="计算 5 2 2 2 4 2" xfId="9328"/>
    <cellStyle name="计算 5 2 2 2 5" xfId="9329"/>
    <cellStyle name="计算 5 2 2 2 5 2" xfId="9330"/>
    <cellStyle name="计算 5 2 2 2 6" xfId="9331"/>
    <cellStyle name="计算 5 2 2 2 6 2" xfId="9332"/>
    <cellStyle name="计算 5 2 2 2 7" xfId="9333"/>
    <cellStyle name="计算 5 2 2 2 7 2" xfId="9334"/>
    <cellStyle name="计算 5 2 2 2 7 2 2" xfId="9335"/>
    <cellStyle name="计算 5 2 2 2 7 2 2 2" xfId="9336"/>
    <cellStyle name="计算 5 2 2 2 7 3" xfId="9337"/>
    <cellStyle name="计算 5 2 2 2 7 3 2" xfId="9338"/>
    <cellStyle name="计算 5 2 2 2 8" xfId="9339"/>
    <cellStyle name="计算 5 2 2 2 8 2" xfId="9340"/>
    <cellStyle name="计算 5 2 2 3" xfId="9341"/>
    <cellStyle name="计算 5 2 2 3 2" xfId="9342"/>
    <cellStyle name="计算 5 2 2 4" xfId="9343"/>
    <cellStyle name="计算 5 2 2 4 2" xfId="9344"/>
    <cellStyle name="计算 5 2 2 5" xfId="9345"/>
    <cellStyle name="计算 5 2 2 5 2" xfId="9346"/>
    <cellStyle name="计算 5 2 2 6" xfId="9347"/>
    <cellStyle name="计算 5 2 2 6 2" xfId="9348"/>
    <cellStyle name="计算 5 2 2 7" xfId="9349"/>
    <cellStyle name="计算 5 2 2 7 2" xfId="9350"/>
    <cellStyle name="计算 5 2 3" xfId="4567"/>
    <cellStyle name="计算 5 2 3 2" xfId="9351"/>
    <cellStyle name="计算 5 2 3 2 2" xfId="9352"/>
    <cellStyle name="计算 5 2 3 3" xfId="9353"/>
    <cellStyle name="计算 5 2 3 3 2" xfId="9354"/>
    <cellStyle name="计算 5 2 3 4" xfId="9355"/>
    <cellStyle name="计算 5 2 3 4 2" xfId="9356"/>
    <cellStyle name="计算 5 2 3 5" xfId="9357"/>
    <cellStyle name="计算 5 2 3 5 2" xfId="9358"/>
    <cellStyle name="计算 5 2 3 6" xfId="9359"/>
    <cellStyle name="计算 5 2 3 6 2" xfId="9360"/>
    <cellStyle name="计算 5 2 3 7" xfId="9361"/>
    <cellStyle name="计算 5 2 3 7 2" xfId="9362"/>
    <cellStyle name="计算 5 2 3 7 2 2" xfId="9363"/>
    <cellStyle name="计算 5 2 3 7 2 2 2" xfId="9364"/>
    <cellStyle name="计算 5 2 3 7 3" xfId="9365"/>
    <cellStyle name="计算 5 2 3 7 3 2" xfId="9366"/>
    <cellStyle name="计算 5 2 3 8" xfId="9367"/>
    <cellStyle name="计算 5 2 3 8 2" xfId="9368"/>
    <cellStyle name="计算 5 2 4" xfId="9369"/>
    <cellStyle name="计算 5 2 4 2" xfId="9370"/>
    <cellStyle name="计算 5 2 5" xfId="9371"/>
    <cellStyle name="计算 5 2 5 2" xfId="9372"/>
    <cellStyle name="计算 5 2 6" xfId="9373"/>
    <cellStyle name="计算 5 2 6 2" xfId="9374"/>
    <cellStyle name="计算 5 2 7" xfId="9375"/>
    <cellStyle name="计算 5 2 7 2" xfId="9376"/>
    <cellStyle name="计算 5 2 8" xfId="9377"/>
    <cellStyle name="计算 5 2 8 2" xfId="9378"/>
    <cellStyle name="计算 5 3" xfId="2052"/>
    <cellStyle name="计算 5 3 2" xfId="4569"/>
    <cellStyle name="计算 5 3 2 2" xfId="9379"/>
    <cellStyle name="计算 5 3 2 2 2" xfId="9380"/>
    <cellStyle name="计算 5 3 2 3" xfId="9381"/>
    <cellStyle name="计算 5 3 2 3 2" xfId="9382"/>
    <cellStyle name="计算 5 3 2 4" xfId="9383"/>
    <cellStyle name="计算 5 3 2 4 2" xfId="9384"/>
    <cellStyle name="计算 5 3 2 5" xfId="9385"/>
    <cellStyle name="计算 5 3 2 5 2" xfId="9386"/>
    <cellStyle name="计算 5 3 2 6" xfId="9387"/>
    <cellStyle name="计算 5 3 2 6 2" xfId="9388"/>
    <cellStyle name="计算 5 3 2 7" xfId="9389"/>
    <cellStyle name="计算 5 3 2 7 2" xfId="9390"/>
    <cellStyle name="计算 5 3 2 7 2 2" xfId="9391"/>
    <cellStyle name="计算 5 3 2 7 2 2 2" xfId="9392"/>
    <cellStyle name="计算 5 3 2 7 3" xfId="9393"/>
    <cellStyle name="计算 5 3 2 7 3 2" xfId="9394"/>
    <cellStyle name="计算 5 3 2 8" xfId="9395"/>
    <cellStyle name="计算 5 3 2 8 2" xfId="9396"/>
    <cellStyle name="计算 5 3 3" xfId="9397"/>
    <cellStyle name="计算 5 3 3 2" xfId="9398"/>
    <cellStyle name="计算 5 3 4" xfId="9399"/>
    <cellStyle name="计算 5 3 4 2" xfId="9400"/>
    <cellStyle name="计算 5 3 5" xfId="9401"/>
    <cellStyle name="计算 5 3 5 2" xfId="9402"/>
    <cellStyle name="计算 5 3 6" xfId="9403"/>
    <cellStyle name="计算 5 3 6 2" xfId="9404"/>
    <cellStyle name="计算 5 3 7" xfId="9405"/>
    <cellStyle name="计算 5 3 7 2" xfId="9406"/>
    <cellStyle name="计算 5 4" xfId="4566"/>
    <cellStyle name="计算 5 4 2" xfId="9407"/>
    <cellStyle name="计算 5 4 2 2" xfId="9408"/>
    <cellStyle name="计算 5 4 3" xfId="9409"/>
    <cellStyle name="计算 5 4 3 2" xfId="9410"/>
    <cellStyle name="计算 5 4 4" xfId="9411"/>
    <cellStyle name="计算 5 4 4 2" xfId="9412"/>
    <cellStyle name="计算 5 4 5" xfId="9413"/>
    <cellStyle name="计算 5 4 5 2" xfId="9414"/>
    <cellStyle name="计算 5 4 6" xfId="9415"/>
    <cellStyle name="计算 5 4 6 2" xfId="9416"/>
    <cellStyle name="计算 5 4 7" xfId="9417"/>
    <cellStyle name="计算 5 4 7 2" xfId="9418"/>
    <cellStyle name="计算 5 4 7 2 2" xfId="9419"/>
    <cellStyle name="计算 5 4 7 2 2 2" xfId="9420"/>
    <cellStyle name="计算 5 4 7 3" xfId="9421"/>
    <cellStyle name="计算 5 4 7 3 2" xfId="9422"/>
    <cellStyle name="计算 5 4 8" xfId="9423"/>
    <cellStyle name="计算 5 4 8 2" xfId="9424"/>
    <cellStyle name="计算 5 5" xfId="9425"/>
    <cellStyle name="计算 5 5 2" xfId="9426"/>
    <cellStyle name="计算 5 6" xfId="9427"/>
    <cellStyle name="计算 5 6 2" xfId="9428"/>
    <cellStyle name="计算 5 7" xfId="9429"/>
    <cellStyle name="计算 5 7 2" xfId="9430"/>
    <cellStyle name="计算 5 8" xfId="9431"/>
    <cellStyle name="计算 5 8 2" xfId="9432"/>
    <cellStyle name="计算 5 9" xfId="9433"/>
    <cellStyle name="计算 5 9 2" xfId="9434"/>
    <cellStyle name="计算 6" xfId="2053"/>
    <cellStyle name="计算 6 2" xfId="1196"/>
    <cellStyle name="计算 6 2 2" xfId="4571"/>
    <cellStyle name="计算 6 2 2 2" xfId="9435"/>
    <cellStyle name="计算 6 2 2 2 2" xfId="9436"/>
    <cellStyle name="计算 6 2 2 3" xfId="9437"/>
    <cellStyle name="计算 6 2 2 3 2" xfId="9438"/>
    <cellStyle name="计算 6 2 2 4" xfId="9439"/>
    <cellStyle name="计算 6 2 2 4 2" xfId="9440"/>
    <cellStyle name="计算 6 2 2 5" xfId="9441"/>
    <cellStyle name="计算 6 2 2 5 2" xfId="9442"/>
    <cellStyle name="计算 6 2 2 6" xfId="9443"/>
    <cellStyle name="计算 6 2 2 6 2" xfId="9444"/>
    <cellStyle name="计算 6 2 2 7" xfId="9445"/>
    <cellStyle name="计算 6 2 2 7 2" xfId="9446"/>
    <cellStyle name="计算 6 2 2 7 2 2" xfId="9447"/>
    <cellStyle name="计算 6 2 2 7 2 2 2" xfId="9448"/>
    <cellStyle name="计算 6 2 2 7 3" xfId="9449"/>
    <cellStyle name="计算 6 2 2 7 3 2" xfId="9450"/>
    <cellStyle name="计算 6 2 2 8" xfId="9451"/>
    <cellStyle name="计算 6 2 2 8 2" xfId="9452"/>
    <cellStyle name="计算 6 2 3" xfId="9453"/>
    <cellStyle name="计算 6 2 3 2" xfId="9454"/>
    <cellStyle name="计算 6 2 4" xfId="9455"/>
    <cellStyle name="计算 6 2 4 2" xfId="9456"/>
    <cellStyle name="计算 6 2 5" xfId="9457"/>
    <cellStyle name="计算 6 2 5 2" xfId="9458"/>
    <cellStyle name="计算 6 2 6" xfId="9459"/>
    <cellStyle name="计算 6 2 6 2" xfId="9460"/>
    <cellStyle name="计算 6 2 7" xfId="9461"/>
    <cellStyle name="计算 6 2 7 2" xfId="9462"/>
    <cellStyle name="计算 6 3" xfId="4570"/>
    <cellStyle name="计算 6 3 2" xfId="9463"/>
    <cellStyle name="计算 6 3 2 2" xfId="9464"/>
    <cellStyle name="计算 6 3 3" xfId="9465"/>
    <cellStyle name="计算 6 3 3 2" xfId="9466"/>
    <cellStyle name="计算 6 3 4" xfId="9467"/>
    <cellStyle name="计算 6 3 4 2" xfId="9468"/>
    <cellStyle name="计算 6 3 5" xfId="9469"/>
    <cellStyle name="计算 6 3 5 2" xfId="9470"/>
    <cellStyle name="计算 6 3 6" xfId="9471"/>
    <cellStyle name="计算 6 3 6 2" xfId="9472"/>
    <cellStyle name="计算 6 3 7" xfId="9473"/>
    <cellStyle name="计算 6 3 7 2" xfId="9474"/>
    <cellStyle name="计算 6 3 7 2 2" xfId="9475"/>
    <cellStyle name="计算 6 3 7 2 2 2" xfId="9476"/>
    <cellStyle name="计算 6 3 7 3" xfId="9477"/>
    <cellStyle name="计算 6 3 7 3 2" xfId="9478"/>
    <cellStyle name="计算 6 3 8" xfId="9479"/>
    <cellStyle name="计算 6 3 8 2" xfId="9480"/>
    <cellStyle name="计算 6 4" xfId="9481"/>
    <cellStyle name="计算 6 4 2" xfId="9482"/>
    <cellStyle name="计算 6 5" xfId="9483"/>
    <cellStyle name="计算 6 5 2" xfId="9484"/>
    <cellStyle name="计算 6 6" xfId="9485"/>
    <cellStyle name="计算 6 6 2" xfId="9486"/>
    <cellStyle name="计算 6 7" xfId="9487"/>
    <cellStyle name="计算 6 7 2" xfId="9488"/>
    <cellStyle name="计算 6 8" xfId="9489"/>
    <cellStyle name="计算 6 8 2" xfId="9490"/>
    <cellStyle name="计算 7" xfId="2054"/>
    <cellStyle name="计算 7 2" xfId="4572"/>
    <cellStyle name="计算 7 2 2" xfId="9491"/>
    <cellStyle name="计算 7 2 2 2" xfId="9492"/>
    <cellStyle name="计算 7 2 3" xfId="9493"/>
    <cellStyle name="计算 7 2 3 2" xfId="9494"/>
    <cellStyle name="计算 7 2 4" xfId="9495"/>
    <cellStyle name="计算 7 2 4 2" xfId="9496"/>
    <cellStyle name="计算 7 2 5" xfId="9497"/>
    <cellStyle name="计算 7 2 5 2" xfId="9498"/>
    <cellStyle name="计算 7 2 6" xfId="9499"/>
    <cellStyle name="计算 7 2 6 2" xfId="9500"/>
    <cellStyle name="计算 7 2 7" xfId="9501"/>
    <cellStyle name="计算 7 2 7 2" xfId="9502"/>
    <cellStyle name="计算 7 2 7 2 2" xfId="9503"/>
    <cellStyle name="计算 7 2 7 2 2 2" xfId="9504"/>
    <cellStyle name="计算 7 2 7 3" xfId="9505"/>
    <cellStyle name="计算 7 2 7 3 2" xfId="9506"/>
    <cellStyle name="计算 7 2 8" xfId="9507"/>
    <cellStyle name="计算 7 2 8 2" xfId="9508"/>
    <cellStyle name="计算 7 3" xfId="9509"/>
    <cellStyle name="计算 7 3 2" xfId="9510"/>
    <cellStyle name="计算 7 4" xfId="9511"/>
    <cellStyle name="计算 7 4 2" xfId="9512"/>
    <cellStyle name="计算 7 5" xfId="9513"/>
    <cellStyle name="计算 7 5 2" xfId="9514"/>
    <cellStyle name="计算 7 6" xfId="9515"/>
    <cellStyle name="计算 7 6 2" xfId="9516"/>
    <cellStyle name="计算 7 7" xfId="9517"/>
    <cellStyle name="计算 7 7 2" xfId="9518"/>
    <cellStyle name="计算 8" xfId="2694"/>
    <cellStyle name="计算 8 2" xfId="9519"/>
    <cellStyle name="计算 8 2 2" xfId="9520"/>
    <cellStyle name="计算 8 3" xfId="9521"/>
    <cellStyle name="计算 8 3 2" xfId="9522"/>
    <cellStyle name="计算 8 4" xfId="9523"/>
    <cellStyle name="计算 8 4 2" xfId="9524"/>
    <cellStyle name="计算 8 5" xfId="9525"/>
    <cellStyle name="计算 8 5 2" xfId="9526"/>
    <cellStyle name="计算 8 6" xfId="9527"/>
    <cellStyle name="计算 8 6 2" xfId="9528"/>
    <cellStyle name="计算 8 7" xfId="9529"/>
    <cellStyle name="计算 8 7 2" xfId="9530"/>
    <cellStyle name="计算 8 7 2 2" xfId="9531"/>
    <cellStyle name="计算 8 7 2 2 2" xfId="9532"/>
    <cellStyle name="计算 8 7 3" xfId="9533"/>
    <cellStyle name="计算 8 7 3 2" xfId="9534"/>
    <cellStyle name="计算 8 8" xfId="9535"/>
    <cellStyle name="计算 8 8 2" xfId="9536"/>
    <cellStyle name="计算 9" xfId="4545"/>
    <cellStyle name="计算 9 2" xfId="9537"/>
    <cellStyle name="计算 9 2 2" xfId="9538"/>
    <cellStyle name="计算 9 3" xfId="9539"/>
    <cellStyle name="计算 9 3 2" xfId="9540"/>
    <cellStyle name="计算 9 4" xfId="9541"/>
    <cellStyle name="计算 9 4 2" xfId="9542"/>
    <cellStyle name="计算 9 5" xfId="9543"/>
    <cellStyle name="计算 9 5 2" xfId="9544"/>
    <cellStyle name="计算 9 6" xfId="9545"/>
    <cellStyle name="计算 9 6 2" xfId="9546"/>
    <cellStyle name="计算 9 7" xfId="9547"/>
    <cellStyle name="计算 9 7 2" xfId="9548"/>
    <cellStyle name="计算 9 7 2 2" xfId="9549"/>
    <cellStyle name="计算 9 7 2 2 2" xfId="9550"/>
    <cellStyle name="计算 9 7 3" xfId="9551"/>
    <cellStyle name="计算 9 7 3 2" xfId="9552"/>
    <cellStyle name="计算 9 8" xfId="9553"/>
    <cellStyle name="计算 9 8 2" xfId="9554"/>
    <cellStyle name="检查单元格" xfId="303"/>
    <cellStyle name="检查单元格 2" xfId="1788"/>
    <cellStyle name="检查单元格 2 2" xfId="2055"/>
    <cellStyle name="检查单元格 2 2 2" xfId="1083"/>
    <cellStyle name="检查单元格 2 2 2 2" xfId="1087"/>
    <cellStyle name="检查单元格 2 2 2 2 2" xfId="4575"/>
    <cellStyle name="检查单元格 2 2 2 2 2 2" xfId="9555"/>
    <cellStyle name="检查单元格 2 2 2 2 2 3" xfId="9556"/>
    <cellStyle name="检查单元格 2 2 2 2 2 3 2" xfId="9557"/>
    <cellStyle name="检查单元格 2 2 2 3" xfId="2704"/>
    <cellStyle name="检查单元格 2 2 2 3 2" xfId="9558"/>
    <cellStyle name="检查单元格 2 2 2 3 3" xfId="9559"/>
    <cellStyle name="检查单元格 2 2 2 3 3 2" xfId="9560"/>
    <cellStyle name="检查单元格 2 2 3" xfId="1092"/>
    <cellStyle name="检查单元格 2 2 3 2" xfId="2705"/>
    <cellStyle name="检查单元格 2 2 3 2 2" xfId="9561"/>
    <cellStyle name="检查单元格 2 2 3 2 3" xfId="9562"/>
    <cellStyle name="检查单元格 2 2 3 2 3 2" xfId="9563"/>
    <cellStyle name="检查单元格 2 2 4" xfId="2703"/>
    <cellStyle name="检查单元格 2 2 4 2" xfId="9564"/>
    <cellStyle name="检查单元格 2 2 4 3" xfId="9565"/>
    <cellStyle name="检查单元格 2 2 4 3 2" xfId="9566"/>
    <cellStyle name="检查单元格 2 3" xfId="2056"/>
    <cellStyle name="检查单元格 2 3 2" xfId="1098"/>
    <cellStyle name="检查单元格 2 3 2 2" xfId="364"/>
    <cellStyle name="检查单元格 2 3 2 2 2" xfId="4578"/>
    <cellStyle name="检查单元格 2 3 2 2 2 2" xfId="9567"/>
    <cellStyle name="检查单元格 2 3 2 2 2 3" xfId="9568"/>
    <cellStyle name="检查单元格 2 3 2 2 2 3 2" xfId="9569"/>
    <cellStyle name="检查单元格 2 3 2 3" xfId="4577"/>
    <cellStyle name="检查单元格 2 3 2 3 2" xfId="9570"/>
    <cellStyle name="检查单元格 2 3 2 3 3" xfId="9571"/>
    <cellStyle name="检查单元格 2 3 2 3 3 2" xfId="9572"/>
    <cellStyle name="检查单元格 2 3 3" xfId="2058"/>
    <cellStyle name="检查单元格 2 3 3 2" xfId="4579"/>
    <cellStyle name="检查单元格 2 3 3 2 2" xfId="9573"/>
    <cellStyle name="检查单元格 2 3 3 2 3" xfId="9574"/>
    <cellStyle name="检查单元格 2 3 3 2 3 2" xfId="9575"/>
    <cellStyle name="检查单元格 2 3 4" xfId="2706"/>
    <cellStyle name="检查单元格 2 3 4 2" xfId="9576"/>
    <cellStyle name="检查单元格 2 3 4 3" xfId="9577"/>
    <cellStyle name="检查单元格 2 3 4 3 2" xfId="9578"/>
    <cellStyle name="检查单元格 2 3 5" xfId="4576"/>
    <cellStyle name="检查单元格 2 3 5 2" xfId="9579"/>
    <cellStyle name="检查单元格 2 3 5 3" xfId="9580"/>
    <cellStyle name="检查单元格 2 3 5 3 2" xfId="9581"/>
    <cellStyle name="检查单元格 2 4" xfId="2059"/>
    <cellStyle name="检查单元格 2 4 2" xfId="1102"/>
    <cellStyle name="检查单元格 2 4 2 2" xfId="4581"/>
    <cellStyle name="检查单元格 2 4 2 2 2" xfId="9582"/>
    <cellStyle name="检查单元格 2 4 2 2 3" xfId="9583"/>
    <cellStyle name="检查单元格 2 4 2 2 3 2" xfId="9584"/>
    <cellStyle name="检查单元格 2 4 3" xfId="4580"/>
    <cellStyle name="检查单元格 2 4 3 2" xfId="9585"/>
    <cellStyle name="检查单元格 2 4 3 3" xfId="9586"/>
    <cellStyle name="检查单元格 2 4 3 3 2" xfId="9587"/>
    <cellStyle name="检查单元格 2 5" xfId="2060"/>
    <cellStyle name="检查单元格 2 5 2" xfId="4582"/>
    <cellStyle name="检查单元格 2 5 2 2" xfId="9588"/>
    <cellStyle name="检查单元格 2 5 2 3" xfId="9589"/>
    <cellStyle name="检查单元格 2 5 2 3 2" xfId="9590"/>
    <cellStyle name="检查单元格 2 6" xfId="2702"/>
    <cellStyle name="检查单元格 2 6 2" xfId="9591"/>
    <cellStyle name="检查单元格 2 6 3" xfId="9592"/>
    <cellStyle name="检查单元格 2 6 3 2" xfId="9593"/>
    <cellStyle name="检查单元格 2 7" xfId="4574"/>
    <cellStyle name="检查单元格 2 7 2" xfId="9594"/>
    <cellStyle name="检查单元格 2 7 3" xfId="9595"/>
    <cellStyle name="检查单元格 2 7 3 2" xfId="9596"/>
    <cellStyle name="检查单元格 3" xfId="2061"/>
    <cellStyle name="检查单元格 3 2" xfId="2062"/>
    <cellStyle name="检查单元格 3 2 2" xfId="1127"/>
    <cellStyle name="检查单元格 3 2 2 2" xfId="1129"/>
    <cellStyle name="检查单元格 3 2 2 2 2" xfId="4585"/>
    <cellStyle name="检查单元格 3 2 2 2 2 2" xfId="9597"/>
    <cellStyle name="检查单元格 3 2 2 2 2 3" xfId="9598"/>
    <cellStyle name="检查单元格 3 2 2 2 2 3 2" xfId="9599"/>
    <cellStyle name="检查单元格 3 2 2 3" xfId="4584"/>
    <cellStyle name="检查单元格 3 2 2 3 2" xfId="9600"/>
    <cellStyle name="检查单元格 3 2 2 3 3" xfId="9601"/>
    <cellStyle name="检查单元格 3 2 2 3 3 2" xfId="9602"/>
    <cellStyle name="检查单元格 3 2 3" xfId="1131"/>
    <cellStyle name="检查单元格 3 2 3 2" xfId="4586"/>
    <cellStyle name="检查单元格 3 2 3 2 2" xfId="9603"/>
    <cellStyle name="检查单元格 3 2 3 2 3" xfId="9604"/>
    <cellStyle name="检查单元格 3 2 3 2 3 2" xfId="9605"/>
    <cellStyle name="检查单元格 3 2 4" xfId="4583"/>
    <cellStyle name="检查单元格 3 2 4 2" xfId="9606"/>
    <cellStyle name="检查单元格 3 2 4 3" xfId="9607"/>
    <cellStyle name="检查单元格 3 2 4 3 2" xfId="9608"/>
    <cellStyle name="检查单元格 3 3" xfId="2063"/>
    <cellStyle name="检查单元格 3 3 2" xfId="1135"/>
    <cellStyle name="检查单元格 3 3 2 2" xfId="4588"/>
    <cellStyle name="检查单元格 3 3 2 2 2" xfId="9609"/>
    <cellStyle name="检查单元格 3 3 2 2 3" xfId="9610"/>
    <cellStyle name="检查单元格 3 3 2 2 3 2" xfId="9611"/>
    <cellStyle name="检查单元格 3 3 3" xfId="4587"/>
    <cellStyle name="检查单元格 3 3 3 2" xfId="9612"/>
    <cellStyle name="检查单元格 3 3 3 3" xfId="9613"/>
    <cellStyle name="检查单元格 3 3 3 3 2" xfId="9614"/>
    <cellStyle name="检查单元格 3 4" xfId="2064"/>
    <cellStyle name="检查单元格 3 4 2" xfId="4589"/>
    <cellStyle name="检查单元格 3 4 2 2" xfId="9615"/>
    <cellStyle name="检查单元格 3 4 2 3" xfId="9616"/>
    <cellStyle name="检查单元格 3 4 2 3 2" xfId="9617"/>
    <cellStyle name="检查单元格 3 5" xfId="2707"/>
    <cellStyle name="检查单元格 3 5 2" xfId="9618"/>
    <cellStyle name="检查单元格 3 5 3" xfId="9619"/>
    <cellStyle name="检查单元格 3 5 3 2" xfId="9620"/>
    <cellStyle name="检查单元格 4" xfId="2066"/>
    <cellStyle name="检查单元格 4 2" xfId="2068"/>
    <cellStyle name="检查单元格 4 2 2" xfId="1162"/>
    <cellStyle name="检查单元格 4 2 2 2" xfId="4592"/>
    <cellStyle name="检查单元格 4 2 2 2 2" xfId="9621"/>
    <cellStyle name="检查单元格 4 2 2 2 3" xfId="9622"/>
    <cellStyle name="检查单元格 4 2 2 2 3 2" xfId="9623"/>
    <cellStyle name="检查单元格 4 2 3" xfId="4591"/>
    <cellStyle name="检查单元格 4 2 3 2" xfId="9624"/>
    <cellStyle name="检查单元格 4 2 3 3" xfId="9625"/>
    <cellStyle name="检查单元格 4 2 3 3 2" xfId="9626"/>
    <cellStyle name="检查单元格 4 3" xfId="2070"/>
    <cellStyle name="检查单元格 4 3 2" xfId="4593"/>
    <cellStyle name="检查单元格 4 3 2 2" xfId="9627"/>
    <cellStyle name="检查单元格 4 3 2 3" xfId="9628"/>
    <cellStyle name="检查单元格 4 3 2 3 2" xfId="9629"/>
    <cellStyle name="检查单元格 4 4" xfId="4590"/>
    <cellStyle name="检查单元格 4 4 2" xfId="9630"/>
    <cellStyle name="检查单元格 4 4 3" xfId="9631"/>
    <cellStyle name="检查单元格 4 4 3 2" xfId="9632"/>
    <cellStyle name="检查单元格 5" xfId="2072"/>
    <cellStyle name="检查单元格 5 2" xfId="2074"/>
    <cellStyle name="检查单元格 5 2 2" xfId="2076"/>
    <cellStyle name="检查单元格 5 2 2 2" xfId="4596"/>
    <cellStyle name="检查单元格 5 2 2 2 2" xfId="9633"/>
    <cellStyle name="检查单元格 5 2 2 2 3" xfId="9634"/>
    <cellStyle name="检查单元格 5 2 2 2 3 2" xfId="9635"/>
    <cellStyle name="检查单元格 5 2 3" xfId="4595"/>
    <cellStyle name="检查单元格 5 2 3 2" xfId="9636"/>
    <cellStyle name="检查单元格 5 2 3 3" xfId="9637"/>
    <cellStyle name="检查单元格 5 2 3 3 2" xfId="9638"/>
    <cellStyle name="检查单元格 5 3" xfId="2078"/>
    <cellStyle name="检查单元格 5 3 2" xfId="4597"/>
    <cellStyle name="检查单元格 5 3 2 2" xfId="9639"/>
    <cellStyle name="检查单元格 5 3 2 3" xfId="9640"/>
    <cellStyle name="检查单元格 5 3 2 3 2" xfId="9641"/>
    <cellStyle name="检查单元格 5 4" xfId="4594"/>
    <cellStyle name="检查单元格 5 4 2" xfId="9642"/>
    <cellStyle name="检查单元格 5 4 3" xfId="9643"/>
    <cellStyle name="检查单元格 5 4 3 2" xfId="9644"/>
    <cellStyle name="检查单元格 6" xfId="1675"/>
    <cellStyle name="检查单元格 6 2" xfId="2080"/>
    <cellStyle name="检查单元格 6 2 2" xfId="4599"/>
    <cellStyle name="检查单元格 6 2 2 2" xfId="9645"/>
    <cellStyle name="检查单元格 6 2 2 3" xfId="9646"/>
    <cellStyle name="检查单元格 6 2 2 3 2" xfId="9647"/>
    <cellStyle name="检查单元格 6 3" xfId="4598"/>
    <cellStyle name="检查单元格 6 3 2" xfId="9648"/>
    <cellStyle name="检查单元格 6 3 3" xfId="9649"/>
    <cellStyle name="检查单元格 6 3 3 2" xfId="9650"/>
    <cellStyle name="检查单元格 7" xfId="2083"/>
    <cellStyle name="检查单元格 7 2" xfId="4600"/>
    <cellStyle name="检查单元格 7 2 2" xfId="9651"/>
    <cellStyle name="检查单元格 7 2 3" xfId="9652"/>
    <cellStyle name="检查单元格 7 2 3 2" xfId="9653"/>
    <cellStyle name="检查单元格 8" xfId="2701"/>
    <cellStyle name="检查单元格 8 2" xfId="9654"/>
    <cellStyle name="检查单元格 8 3" xfId="9655"/>
    <cellStyle name="检查单元格 8 3 2" xfId="9656"/>
    <cellStyle name="检查单元格 9" xfId="4573"/>
    <cellStyle name="检查单元格 9 2" xfId="9657"/>
    <cellStyle name="检查单元格 9 3" xfId="9658"/>
    <cellStyle name="检查单元格 9 3 2" xfId="9659"/>
    <cellStyle name="解释性文本" xfId="1323"/>
    <cellStyle name="解释性文本 2" xfId="749"/>
    <cellStyle name="解释性文本 2 2" xfId="2084"/>
    <cellStyle name="解释性文本 2 2 2" xfId="1122"/>
    <cellStyle name="解释性文本 2 2 2 2" xfId="2085"/>
    <cellStyle name="解释性文本 2 2 3" xfId="2086"/>
    <cellStyle name="解释性文本 2 3" xfId="156"/>
    <cellStyle name="解释性文本 2 3 2" xfId="2087"/>
    <cellStyle name="解释性文本 2 4" xfId="159"/>
    <cellStyle name="解释性文本 3" xfId="2088"/>
    <cellStyle name="解释性文本 3 2" xfId="2089"/>
    <cellStyle name="解释性文本 3 2 2" xfId="1155"/>
    <cellStyle name="解释性文本 3 2 2 2" xfId="2090"/>
    <cellStyle name="解释性文本 3 2 3" xfId="2091"/>
    <cellStyle name="解释性文本 3 3" xfId="2092"/>
    <cellStyle name="解释性文本 3 3 2" xfId="2093"/>
    <cellStyle name="解释性文本 3 4" xfId="2094"/>
    <cellStyle name="解释性文本 4" xfId="2095"/>
    <cellStyle name="解释性文本 4 2" xfId="2096"/>
    <cellStyle name="解释性文本 4 2 2" xfId="2097"/>
    <cellStyle name="解释性文本 4 3" xfId="2098"/>
    <cellStyle name="解释性文本 5" xfId="1476"/>
    <cellStyle name="解释性文本 5 2" xfId="1478"/>
    <cellStyle name="解释性文本 5 2 2" xfId="270"/>
    <cellStyle name="解释性文本 5 3" xfId="1480"/>
    <cellStyle name="解释性文本 6" xfId="1483"/>
    <cellStyle name="解释性文本 6 2" xfId="1485"/>
    <cellStyle name="解释性文本 7" xfId="1491"/>
    <cellStyle name="警告文本" xfId="1741"/>
    <cellStyle name="警告文本 2" xfId="1745"/>
    <cellStyle name="警告文本 2 2" xfId="260"/>
    <cellStyle name="警告文本 2 2 2" xfId="1875"/>
    <cellStyle name="警告文本 2 2 2 2" xfId="2099"/>
    <cellStyle name="警告文本 2 2 3" xfId="2100"/>
    <cellStyle name="警告文本 2 3" xfId="2101"/>
    <cellStyle name="警告文本 2 3 2" xfId="1882"/>
    <cellStyle name="警告文本 2 4" xfId="2102"/>
    <cellStyle name="警告文本 3" xfId="1747"/>
    <cellStyle name="警告文本 3 2" xfId="2103"/>
    <cellStyle name="警告文本 3 2 2" xfId="1892"/>
    <cellStyle name="警告文本 3 2 2 2" xfId="2104"/>
    <cellStyle name="警告文本 3 2 3" xfId="2105"/>
    <cellStyle name="警告文本 3 3" xfId="2106"/>
    <cellStyle name="警告文本 3 3 2" xfId="1938"/>
    <cellStyle name="警告文本 3 4" xfId="2107"/>
    <cellStyle name="警告文本 4" xfId="2108"/>
    <cellStyle name="警告文本 4 2" xfId="2109"/>
    <cellStyle name="警告文本 4 2 2" xfId="2110"/>
    <cellStyle name="警告文本 4 3" xfId="2111"/>
    <cellStyle name="警告文本 5" xfId="2112"/>
    <cellStyle name="警告文本 5 2" xfId="2113"/>
    <cellStyle name="警告文本 5 2 2" xfId="2114"/>
    <cellStyle name="警告文本 5 3" xfId="2115"/>
    <cellStyle name="警告文本 6" xfId="2116"/>
    <cellStyle name="警告文本 6 2" xfId="2117"/>
    <cellStyle name="警告文本 7" xfId="326"/>
    <cellStyle name="链接单元格" xfId="2118"/>
    <cellStyle name="链接单元格 2" xfId="2119"/>
    <cellStyle name="链接单元格 2 2" xfId="1920"/>
    <cellStyle name="链接单元格 2 2 2" xfId="1922"/>
    <cellStyle name="链接单元格 2 2 2 2" xfId="1678"/>
    <cellStyle name="链接单元格 2 2 3" xfId="1885"/>
    <cellStyle name="链接单元格 2 3" xfId="1925"/>
    <cellStyle name="链接单元格 2 3 2" xfId="1927"/>
    <cellStyle name="链接单元格 2 4" xfId="1833"/>
    <cellStyle name="链接单元格 3" xfId="2120"/>
    <cellStyle name="链接单元格 3 2" xfId="1940"/>
    <cellStyle name="链接单元格 3 2 2" xfId="148"/>
    <cellStyle name="链接单元格 3 2 2 2" xfId="155"/>
    <cellStyle name="链接单元格 3 2 3" xfId="13"/>
    <cellStyle name="链接单元格 3 3" xfId="1942"/>
    <cellStyle name="链接单元格 3 3 2" xfId="212"/>
    <cellStyle name="链接单元格 3 4" xfId="1944"/>
    <cellStyle name="链接单元格 4" xfId="2121"/>
    <cellStyle name="链接单元格 4 2" xfId="1950"/>
    <cellStyle name="链接单元格 4 2 2" xfId="361"/>
    <cellStyle name="链接单元格 4 3" xfId="1952"/>
    <cellStyle name="链接单元格 5" xfId="2122"/>
    <cellStyle name="链接单元格 5 2" xfId="1956"/>
    <cellStyle name="链接单元格 5 2 2" xfId="444"/>
    <cellStyle name="链接单元格 5 3" xfId="1958"/>
    <cellStyle name="链接单元格 6" xfId="2123"/>
    <cellStyle name="链接单元格 6 2" xfId="1960"/>
    <cellStyle name="链接单元格 7" xfId="1824"/>
    <cellStyle name="霓付 [0]_laroux" xfId="1744"/>
    <cellStyle name="霓付_laroux" xfId="206"/>
    <cellStyle name="烹拳 [0]_laroux" xfId="134"/>
    <cellStyle name="烹拳_laroux" xfId="1390"/>
    <cellStyle name="普通_97-917" xfId="2124"/>
    <cellStyle name="千分位[0]_BT (2)" xfId="2125"/>
    <cellStyle name="千分位_97-917" xfId="2126"/>
    <cellStyle name="千位[0]_，" xfId="2127"/>
    <cellStyle name="千位_，" xfId="2128"/>
    <cellStyle name="千位分隔 10" xfId="4602"/>
    <cellStyle name="千位分隔 11" xfId="4601"/>
    <cellStyle name="千位分隔 2" xfId="2129"/>
    <cellStyle name="千位分隔 2 10" xfId="9660"/>
    <cellStyle name="千位分隔 2 2" xfId="2130"/>
    <cellStyle name="千位分隔 2 2 2" xfId="2131"/>
    <cellStyle name="千位分隔 2 2 2 2" xfId="2132"/>
    <cellStyle name="千位分隔 2 2 2 2 2" xfId="4603"/>
    <cellStyle name="千位分隔 2 2 2 2 3" xfId="9661"/>
    <cellStyle name="千位分隔 2 2 2 3" xfId="2133"/>
    <cellStyle name="千位分隔 2 2 2 3 2" xfId="4604"/>
    <cellStyle name="千位分隔 2 2 2 3 3" xfId="9662"/>
    <cellStyle name="千位分隔 2 2 2 4" xfId="1158"/>
    <cellStyle name="千位分隔 2 2 2 4 2" xfId="4605"/>
    <cellStyle name="千位分隔 2 2 2 4 3" xfId="9663"/>
    <cellStyle name="千位分隔 2 2 2 5" xfId="1161"/>
    <cellStyle name="千位分隔 2 2 2 5 2" xfId="4606"/>
    <cellStyle name="千位分隔 2 2 2 5 3" xfId="9664"/>
    <cellStyle name="千位分隔 2 2 2 6" xfId="2723"/>
    <cellStyle name="千位分隔 2 2 2 7" xfId="9665"/>
    <cellStyle name="千位分隔 2 2 3" xfId="2134"/>
    <cellStyle name="千位分隔 2 2 3 2" xfId="2135"/>
    <cellStyle name="千位分隔 2 2 3 2 2" xfId="4608"/>
    <cellStyle name="千位分隔 2 2 3 2 3" xfId="9666"/>
    <cellStyle name="千位分隔 2 2 3 3" xfId="2136"/>
    <cellStyle name="千位分隔 2 2 3 3 2" xfId="4609"/>
    <cellStyle name="千位分隔 2 2 3 3 3" xfId="9667"/>
    <cellStyle name="千位分隔 2 2 3 4" xfId="2724"/>
    <cellStyle name="千位分隔 2 2 3 5" xfId="4607"/>
    <cellStyle name="千位分隔 2 2 3 6" xfId="9668"/>
    <cellStyle name="千位分隔 2 2 4" xfId="2137"/>
    <cellStyle name="千位分隔 2 2 4 2" xfId="1576"/>
    <cellStyle name="千位分隔 2 2 4 2 2" xfId="4611"/>
    <cellStyle name="千位分隔 2 2 4 2 3" xfId="9669"/>
    <cellStyle name="千位分隔 2 2 4 3" xfId="1585"/>
    <cellStyle name="千位分隔 2 2 4 3 2" xfId="4612"/>
    <cellStyle name="千位分隔 2 2 4 3 3" xfId="9670"/>
    <cellStyle name="千位分隔 2 2 4 4" xfId="1177"/>
    <cellStyle name="千位分隔 2 2 4 4 2" xfId="4613"/>
    <cellStyle name="千位分隔 2 2 4 4 3" xfId="9671"/>
    <cellStyle name="千位分隔 2 2 4 5" xfId="4610"/>
    <cellStyle name="千位分隔 2 2 4 6" xfId="9672"/>
    <cellStyle name="千位分隔 2 2 5" xfId="1589"/>
    <cellStyle name="千位分隔 2 2 5 2" xfId="4614"/>
    <cellStyle name="千位分隔 2 2 5 3" xfId="9673"/>
    <cellStyle name="千位分隔 2 2 6" xfId="1591"/>
    <cellStyle name="千位分隔 2 2 6 2" xfId="4615"/>
    <cellStyle name="千位分隔 2 2 6 3" xfId="9674"/>
    <cellStyle name="千位分隔 2 2 7" xfId="1593"/>
    <cellStyle name="千位分隔 2 2 7 2" xfId="4616"/>
    <cellStyle name="千位分隔 2 2 7 3" xfId="9675"/>
    <cellStyle name="千位分隔 2 2 8" xfId="2722"/>
    <cellStyle name="千位分隔 2 2 9" xfId="9676"/>
    <cellStyle name="千位分隔 2 3" xfId="2138"/>
    <cellStyle name="千位分隔 2 3 2" xfId="2139"/>
    <cellStyle name="千位分隔 2 3 2 2" xfId="4617"/>
    <cellStyle name="千位分隔 2 3 2 3" xfId="9677"/>
    <cellStyle name="千位分隔 2 3 3" xfId="2140"/>
    <cellStyle name="千位分隔 2 3 3 2" xfId="4618"/>
    <cellStyle name="千位分隔 2 3 3 3" xfId="9678"/>
    <cellStyle name="千位分隔 2 3 4" xfId="2141"/>
    <cellStyle name="千位分隔 2 3 4 2" xfId="4619"/>
    <cellStyle name="千位分隔 2 3 4 3" xfId="9679"/>
    <cellStyle name="千位分隔 2 3 5" xfId="1596"/>
    <cellStyle name="千位分隔 2 3 5 2" xfId="4620"/>
    <cellStyle name="千位分隔 2 3 5 3" xfId="9680"/>
    <cellStyle name="千位分隔 2 3 6" xfId="2725"/>
    <cellStyle name="千位分隔 2 3 7" xfId="9681"/>
    <cellStyle name="千位分隔 2 4" xfId="2142"/>
    <cellStyle name="千位分隔 2 4 2" xfId="2143"/>
    <cellStyle name="千位分隔 2 4 2 2" xfId="4622"/>
    <cellStyle name="千位分隔 2 4 2 3" xfId="9682"/>
    <cellStyle name="千位分隔 2 4 3" xfId="2144"/>
    <cellStyle name="千位分隔 2 4 3 2" xfId="4623"/>
    <cellStyle name="千位分隔 2 4 3 3" xfId="9683"/>
    <cellStyle name="千位分隔 2 4 4" xfId="2726"/>
    <cellStyle name="千位分隔 2 4 5" xfId="4621"/>
    <cellStyle name="千位分隔 2 4 6" xfId="9684"/>
    <cellStyle name="千位分隔 2 5" xfId="2145"/>
    <cellStyle name="千位分隔 2 5 2" xfId="2146"/>
    <cellStyle name="千位分隔 2 5 2 2" xfId="4625"/>
    <cellStyle name="千位分隔 2 5 2 3" xfId="9685"/>
    <cellStyle name="千位分隔 2 5 3" xfId="2147"/>
    <cellStyle name="千位分隔 2 5 3 2" xfId="4626"/>
    <cellStyle name="千位分隔 2 5 3 3" xfId="9686"/>
    <cellStyle name="千位分隔 2 5 4" xfId="2148"/>
    <cellStyle name="千位分隔 2 5 4 2" xfId="4627"/>
    <cellStyle name="千位分隔 2 5 4 3" xfId="9687"/>
    <cellStyle name="千位分隔 2 5 5" xfId="4624"/>
    <cellStyle name="千位分隔 2 5 6" xfId="9688"/>
    <cellStyle name="千位分隔 2 6" xfId="2149"/>
    <cellStyle name="千位分隔 2 6 2" xfId="4628"/>
    <cellStyle name="千位分隔 2 6 3" xfId="9689"/>
    <cellStyle name="千位分隔 2 7" xfId="2150"/>
    <cellStyle name="千位分隔 2 7 2" xfId="4629"/>
    <cellStyle name="千位分隔 2 7 3" xfId="9690"/>
    <cellStyle name="千位分隔 2 8" xfId="2151"/>
    <cellStyle name="千位分隔 2 8 2" xfId="4630"/>
    <cellStyle name="千位分隔 2 8 3" xfId="9691"/>
    <cellStyle name="千位分隔 2 9" xfId="2721"/>
    <cellStyle name="千位分隔 3" xfId="1395"/>
    <cellStyle name="千位分隔 3 10" xfId="2727"/>
    <cellStyle name="千位分隔 3 11" xfId="4631"/>
    <cellStyle name="千位分隔 3 12" xfId="9692"/>
    <cellStyle name="千位分隔 3 2" xfId="1397"/>
    <cellStyle name="千位分隔 3 2 2" xfId="1400"/>
    <cellStyle name="千位分隔 3 2 2 2" xfId="1403"/>
    <cellStyle name="千位分隔 3 2 2 2 2" xfId="4634"/>
    <cellStyle name="千位分隔 3 2 2 2 3" xfId="9693"/>
    <cellStyle name="千位分隔 3 2 2 3" xfId="1467"/>
    <cellStyle name="千位分隔 3 2 2 3 2" xfId="4635"/>
    <cellStyle name="千位分隔 3 2 2 3 3" xfId="9694"/>
    <cellStyle name="千位分隔 3 2 2 4" xfId="1469"/>
    <cellStyle name="千位分隔 3 2 2 4 2" xfId="4636"/>
    <cellStyle name="千位分隔 3 2 2 4 3" xfId="9695"/>
    <cellStyle name="千位分隔 3 2 2 5" xfId="4633"/>
    <cellStyle name="千位分隔 3 2 2 6" xfId="9696"/>
    <cellStyle name="千位分隔 3 2 3" xfId="1405"/>
    <cellStyle name="千位分隔 3 2 3 2" xfId="2152"/>
    <cellStyle name="千位分隔 3 2 3 2 2" xfId="4638"/>
    <cellStyle name="千位分隔 3 2 3 2 3" xfId="9697"/>
    <cellStyle name="千位分隔 3 2 3 3" xfId="1472"/>
    <cellStyle name="千位分隔 3 2 3 3 2" xfId="4639"/>
    <cellStyle name="千位分隔 3 2 3 3 3" xfId="9698"/>
    <cellStyle name="千位分隔 3 2 3 4" xfId="4637"/>
    <cellStyle name="千位分隔 3 2 3 5" xfId="9699"/>
    <cellStyle name="千位分隔 3 2 4" xfId="2153"/>
    <cellStyle name="千位分隔 3 2 4 2" xfId="2154"/>
    <cellStyle name="千位分隔 3 2 4 2 2" xfId="4641"/>
    <cellStyle name="千位分隔 3 2 4 2 3" xfId="9700"/>
    <cellStyle name="千位分隔 3 2 4 3" xfId="2155"/>
    <cellStyle name="千位分隔 3 2 4 3 2" xfId="4642"/>
    <cellStyle name="千位分隔 3 2 4 3 3" xfId="9701"/>
    <cellStyle name="千位分隔 3 2 4 4" xfId="2156"/>
    <cellStyle name="千位分隔 3 2 4 4 2" xfId="4643"/>
    <cellStyle name="千位分隔 3 2 4 4 3" xfId="9702"/>
    <cellStyle name="千位分隔 3 2 4 5" xfId="4640"/>
    <cellStyle name="千位分隔 3 2 4 6" xfId="9703"/>
    <cellStyle name="千位分隔 3 2 5" xfId="2157"/>
    <cellStyle name="千位分隔 3 2 5 2" xfId="4644"/>
    <cellStyle name="千位分隔 3 2 5 3" xfId="9704"/>
    <cellStyle name="千位分隔 3 2 6" xfId="2158"/>
    <cellStyle name="千位分隔 3 2 6 2" xfId="4645"/>
    <cellStyle name="千位分隔 3 2 6 3" xfId="9705"/>
    <cellStyle name="千位分隔 3 2 7" xfId="2159"/>
    <cellStyle name="千位分隔 3 2 7 2" xfId="4646"/>
    <cellStyle name="千位分隔 3 2 7 3" xfId="9706"/>
    <cellStyle name="千位分隔 3 2 8" xfId="4632"/>
    <cellStyle name="千位分隔 3 2 9" xfId="9707"/>
    <cellStyle name="千位分隔 3 3" xfId="1407"/>
    <cellStyle name="千位分隔 3 3 2" xfId="1409"/>
    <cellStyle name="千位分隔 3 3 2 2" xfId="4648"/>
    <cellStyle name="千位分隔 3 3 2 3" xfId="9708"/>
    <cellStyle name="千位分隔 3 3 3" xfId="1413"/>
    <cellStyle name="千位分隔 3 3 3 2" xfId="4649"/>
    <cellStyle name="千位分隔 3 3 3 3" xfId="9709"/>
    <cellStyle name="千位分隔 3 3 4" xfId="2160"/>
    <cellStyle name="千位分隔 3 3 4 2" xfId="4650"/>
    <cellStyle name="千位分隔 3 3 4 3" xfId="9710"/>
    <cellStyle name="千位分隔 3 3 5" xfId="4647"/>
    <cellStyle name="千位分隔 3 3 6" xfId="9711"/>
    <cellStyle name="千位分隔 3 4" xfId="1415"/>
    <cellStyle name="千位分隔 3 4 2" xfId="1418"/>
    <cellStyle name="千位分隔 3 4 2 2" xfId="4652"/>
    <cellStyle name="千位分隔 3 4 2 3" xfId="9712"/>
    <cellStyle name="千位分隔 3 4 3" xfId="2162"/>
    <cellStyle name="千位分隔 3 4 3 2" xfId="4653"/>
    <cellStyle name="千位分隔 3 4 3 3" xfId="9713"/>
    <cellStyle name="千位分隔 3 4 4" xfId="2163"/>
    <cellStyle name="千位分隔 3 4 4 2" xfId="4654"/>
    <cellStyle name="千位分隔 3 4 4 3" xfId="9714"/>
    <cellStyle name="千位分隔 3 4 5" xfId="4651"/>
    <cellStyle name="千位分隔 3 4 6" xfId="9715"/>
    <cellStyle name="千位分隔 3 5" xfId="1420"/>
    <cellStyle name="千位分隔 3 5 2" xfId="2164"/>
    <cellStyle name="千位分隔 3 5 2 2" xfId="4656"/>
    <cellStyle name="千位分隔 3 5 2 3" xfId="9716"/>
    <cellStyle name="千位分隔 3 5 3" xfId="2165"/>
    <cellStyle name="千位分隔 3 5 3 2" xfId="4657"/>
    <cellStyle name="千位分隔 3 5 3 3" xfId="9717"/>
    <cellStyle name="千位分隔 3 5 4" xfId="4655"/>
    <cellStyle name="千位分隔 3 5 5" xfId="9718"/>
    <cellStyle name="千位分隔 3 6" xfId="2166"/>
    <cellStyle name="千位分隔 3 6 2" xfId="225"/>
    <cellStyle name="千位分隔 3 6 2 2" xfId="4659"/>
    <cellStyle name="千位分隔 3 6 2 3" xfId="9719"/>
    <cellStyle name="千位分隔 3 6 3" xfId="2167"/>
    <cellStyle name="千位分隔 3 6 3 2" xfId="4660"/>
    <cellStyle name="千位分隔 3 6 3 3" xfId="9720"/>
    <cellStyle name="千位分隔 3 6 4" xfId="2168"/>
    <cellStyle name="千位分隔 3 6 4 2" xfId="4661"/>
    <cellStyle name="千位分隔 3 6 4 3" xfId="9721"/>
    <cellStyle name="千位分隔 3 6 5" xfId="4658"/>
    <cellStyle name="千位分隔 3 6 6" xfId="9722"/>
    <cellStyle name="千位分隔 3 7" xfId="2169"/>
    <cellStyle name="千位分隔 3 7 2" xfId="4662"/>
    <cellStyle name="千位分隔 3 7 3" xfId="9723"/>
    <cellStyle name="千位分隔 3 8" xfId="2170"/>
    <cellStyle name="千位分隔 3 8 2" xfId="4663"/>
    <cellStyle name="千位分隔 3 8 3" xfId="9724"/>
    <cellStyle name="千位分隔 3 9" xfId="2171"/>
    <cellStyle name="千位分隔 3 9 2" xfId="4664"/>
    <cellStyle name="千位分隔 3 9 3" xfId="9725"/>
    <cellStyle name="千位分隔 4" xfId="1422"/>
    <cellStyle name="千位分隔 4 10" xfId="4665"/>
    <cellStyle name="千位分隔 4 11" xfId="9726"/>
    <cellStyle name="千位分隔 4 2" xfId="1424"/>
    <cellStyle name="千位分隔 4 2 2" xfId="1427"/>
    <cellStyle name="千位分隔 4 2 2 2" xfId="1429"/>
    <cellStyle name="千位分隔 4 2 2 2 2" xfId="4668"/>
    <cellStyle name="千位分隔 4 2 2 2 3" xfId="9727"/>
    <cellStyle name="千位分隔 4 2 2 3" xfId="1767"/>
    <cellStyle name="千位分隔 4 2 2 3 2" xfId="4669"/>
    <cellStyle name="千位分隔 4 2 2 3 3" xfId="9728"/>
    <cellStyle name="千位分隔 4 2 2 4" xfId="1769"/>
    <cellStyle name="千位分隔 4 2 2 4 2" xfId="4670"/>
    <cellStyle name="千位分隔 4 2 2 4 3" xfId="9729"/>
    <cellStyle name="千位分隔 4 2 2 5" xfId="4667"/>
    <cellStyle name="千位分隔 4 2 2 6" xfId="9730"/>
    <cellStyle name="千位分隔 4 2 3" xfId="1432"/>
    <cellStyle name="千位分隔 4 2 3 2" xfId="1802"/>
    <cellStyle name="千位分隔 4 2 3 2 2" xfId="4672"/>
    <cellStyle name="千位分隔 4 2 3 2 3" xfId="9731"/>
    <cellStyle name="千位分隔 4 2 3 3" xfId="1804"/>
    <cellStyle name="千位分隔 4 2 3 3 2" xfId="4673"/>
    <cellStyle name="千位分隔 4 2 3 3 3" xfId="9732"/>
    <cellStyle name="千位分隔 4 2 3 4" xfId="4671"/>
    <cellStyle name="千位分隔 4 2 3 5" xfId="9733"/>
    <cellStyle name="千位分隔 4 2 4" xfId="2172"/>
    <cellStyle name="千位分隔 4 2 4 2" xfId="1751"/>
    <cellStyle name="千位分隔 4 2 4 2 2" xfId="4675"/>
    <cellStyle name="千位分隔 4 2 4 2 3" xfId="9734"/>
    <cellStyle name="千位分隔 4 2 4 3" xfId="1753"/>
    <cellStyle name="千位分隔 4 2 4 3 2" xfId="4676"/>
    <cellStyle name="千位分隔 4 2 4 3 3" xfId="9735"/>
    <cellStyle name="千位分隔 4 2 4 4" xfId="2173"/>
    <cellStyle name="千位分隔 4 2 4 4 2" xfId="4677"/>
    <cellStyle name="千位分隔 4 2 4 4 3" xfId="9736"/>
    <cellStyle name="千位分隔 4 2 4 5" xfId="4674"/>
    <cellStyle name="千位分隔 4 2 4 6" xfId="9737"/>
    <cellStyle name="千位分隔 4 2 5" xfId="2174"/>
    <cellStyle name="千位分隔 4 2 5 2" xfId="4678"/>
    <cellStyle name="千位分隔 4 2 5 3" xfId="9738"/>
    <cellStyle name="千位分隔 4 2 6" xfId="2175"/>
    <cellStyle name="千位分隔 4 2 6 2" xfId="4679"/>
    <cellStyle name="千位分隔 4 2 6 3" xfId="9739"/>
    <cellStyle name="千位分隔 4 2 7" xfId="2176"/>
    <cellStyle name="千位分隔 4 2 7 2" xfId="4680"/>
    <cellStyle name="千位分隔 4 2 7 3" xfId="9740"/>
    <cellStyle name="千位分隔 4 2 8" xfId="4666"/>
    <cellStyle name="千位分隔 4 2 9" xfId="9741"/>
    <cellStyle name="千位分隔 4 3" xfId="1434"/>
    <cellStyle name="千位分隔 4 3 2" xfId="1436"/>
    <cellStyle name="千位分隔 4 3 2 2" xfId="4682"/>
    <cellStyle name="千位分隔 4 3 2 3" xfId="9742"/>
    <cellStyle name="千位分隔 4 3 3" xfId="2177"/>
    <cellStyle name="千位分隔 4 3 3 2" xfId="4683"/>
    <cellStyle name="千位分隔 4 3 3 3" xfId="9743"/>
    <cellStyle name="千位分隔 4 3 4" xfId="2178"/>
    <cellStyle name="千位分隔 4 3 4 2" xfId="4684"/>
    <cellStyle name="千位分隔 4 3 4 3" xfId="9744"/>
    <cellStyle name="千位分隔 4 3 5" xfId="4681"/>
    <cellStyle name="千位分隔 4 3 6" xfId="9745"/>
    <cellStyle name="千位分隔 4 4" xfId="1438"/>
    <cellStyle name="千位分隔 4 4 2" xfId="2179"/>
    <cellStyle name="千位分隔 4 4 2 2" xfId="4686"/>
    <cellStyle name="千位分隔 4 4 2 3" xfId="9746"/>
    <cellStyle name="千位分隔 4 4 3" xfId="2180"/>
    <cellStyle name="千位分隔 4 4 3 2" xfId="4687"/>
    <cellStyle name="千位分隔 4 4 3 3" xfId="9747"/>
    <cellStyle name="千位分隔 4 4 4" xfId="1810"/>
    <cellStyle name="千位分隔 4 4 4 2" xfId="4688"/>
    <cellStyle name="千位分隔 4 4 4 3" xfId="9748"/>
    <cellStyle name="千位分隔 4 4 5" xfId="4685"/>
    <cellStyle name="千位分隔 4 4 6" xfId="9749"/>
    <cellStyle name="千位分隔 4 5" xfId="2181"/>
    <cellStyle name="千位分隔 4 5 2" xfId="2182"/>
    <cellStyle name="千位分隔 4 5 2 2" xfId="4690"/>
    <cellStyle name="千位分隔 4 5 2 3" xfId="9750"/>
    <cellStyle name="千位分隔 4 5 3" xfId="2183"/>
    <cellStyle name="千位分隔 4 5 3 2" xfId="4691"/>
    <cellStyle name="千位分隔 4 5 3 3" xfId="9751"/>
    <cellStyle name="千位分隔 4 5 4" xfId="4689"/>
    <cellStyle name="千位分隔 4 5 5" xfId="9752"/>
    <cellStyle name="千位分隔 4 6" xfId="76"/>
    <cellStyle name="千位分隔 4 6 2" xfId="376"/>
    <cellStyle name="千位分隔 4 6 2 2" xfId="4693"/>
    <cellStyle name="千位分隔 4 6 2 3" xfId="9753"/>
    <cellStyle name="千位分隔 4 6 3" xfId="2184"/>
    <cellStyle name="千位分隔 4 6 3 2" xfId="4694"/>
    <cellStyle name="千位分隔 4 6 3 3" xfId="9754"/>
    <cellStyle name="千位分隔 4 6 4" xfId="2185"/>
    <cellStyle name="千位分隔 4 6 4 2" xfId="4695"/>
    <cellStyle name="千位分隔 4 6 4 3" xfId="9755"/>
    <cellStyle name="千位分隔 4 6 5" xfId="4692"/>
    <cellStyle name="千位分隔 4 6 6" xfId="9756"/>
    <cellStyle name="千位分隔 4 7" xfId="2186"/>
    <cellStyle name="千位分隔 4 7 2" xfId="4696"/>
    <cellStyle name="千位分隔 4 7 3" xfId="9757"/>
    <cellStyle name="千位分隔 4 8" xfId="2187"/>
    <cellStyle name="千位分隔 4 8 2" xfId="4697"/>
    <cellStyle name="千位分隔 4 8 3" xfId="9758"/>
    <cellStyle name="千位分隔 4 9" xfId="2188"/>
    <cellStyle name="千位分隔 4 9 2" xfId="4698"/>
    <cellStyle name="千位分隔 4 9 3" xfId="9759"/>
    <cellStyle name="千位分隔 5" xfId="497"/>
    <cellStyle name="千位分隔 5 2" xfId="500"/>
    <cellStyle name="千位分隔 5 2 2" xfId="4700"/>
    <cellStyle name="千位分隔 5 2 3" xfId="9760"/>
    <cellStyle name="千位分隔 5 3" xfId="503"/>
    <cellStyle name="千位分隔 5 3 2" xfId="4701"/>
    <cellStyle name="千位分隔 5 3 3" xfId="9761"/>
    <cellStyle name="千位分隔 5 4" xfId="506"/>
    <cellStyle name="千位分隔 5 4 2" xfId="4702"/>
    <cellStyle name="千位分隔 5 5" xfId="4699"/>
    <cellStyle name="千位分隔 6" xfId="509"/>
    <cellStyle name="千位分隔 6 2" xfId="512"/>
    <cellStyle name="千位分隔 6 2 2" xfId="4704"/>
    <cellStyle name="千位分隔 6 2 3" xfId="9762"/>
    <cellStyle name="千位分隔 6 3" xfId="515"/>
    <cellStyle name="千位分隔 6 3 2" xfId="4705"/>
    <cellStyle name="千位分隔 6 3 3" xfId="9763"/>
    <cellStyle name="千位分隔 6 4" xfId="4703"/>
    <cellStyle name="千位分隔 6 5" xfId="9764"/>
    <cellStyle name="千位分隔 7" xfId="418"/>
    <cellStyle name="千位分隔 7 2" xfId="4706"/>
    <cellStyle name="千位分隔 7 3" xfId="9765"/>
    <cellStyle name="千位分隔 8" xfId="429"/>
    <cellStyle name="千位分隔 8 2" xfId="4707"/>
    <cellStyle name="千位分隔 8 3" xfId="9766"/>
    <cellStyle name="千位分隔 9" xfId="435"/>
    <cellStyle name="千位分隔 9 2" xfId="4708"/>
    <cellStyle name="千位分隔[0] 2" xfId="9767"/>
    <cellStyle name="钎霖_laroux" xfId="2190"/>
    <cellStyle name="强调文字颜色 1" xfId="816"/>
    <cellStyle name="强调文字颜色 1 2" xfId="819"/>
    <cellStyle name="强调文字颜色 1 2 2" xfId="2191"/>
    <cellStyle name="强调文字颜色 1 2 2 2" xfId="2192"/>
    <cellStyle name="强调文字颜色 1 2 2 2 2" xfId="2193"/>
    <cellStyle name="强调文字颜色 1 2 2 2 2 2" xfId="4711"/>
    <cellStyle name="强调文字颜色 1 2 2 2 2 2 2" xfId="9768"/>
    <cellStyle name="强调文字颜色 1 2 2 2 2 2 3" xfId="9769"/>
    <cellStyle name="强调文字颜色 1 2 2 2 2 2 3 2" xfId="9770"/>
    <cellStyle name="强调文字颜色 1 2 2 2 3" xfId="2731"/>
    <cellStyle name="强调文字颜色 1 2 2 2 3 2" xfId="9771"/>
    <cellStyle name="强调文字颜色 1 2 2 2 3 3" xfId="9772"/>
    <cellStyle name="强调文字颜色 1 2 2 2 3 3 2" xfId="9773"/>
    <cellStyle name="强调文字颜色 1 2 2 3" xfId="2194"/>
    <cellStyle name="强调文字颜色 1 2 2 3 2" xfId="2732"/>
    <cellStyle name="强调文字颜色 1 2 2 3 2 2" xfId="9774"/>
    <cellStyle name="强调文字颜色 1 2 2 3 2 3" xfId="9775"/>
    <cellStyle name="强调文字颜色 1 2 2 3 2 3 2" xfId="9776"/>
    <cellStyle name="强调文字颜色 1 2 2 4" xfId="2730"/>
    <cellStyle name="强调文字颜色 1 2 2 4 2" xfId="9777"/>
    <cellStyle name="强调文字颜色 1 2 2 4 3" xfId="9778"/>
    <cellStyle name="强调文字颜色 1 2 2 4 3 2" xfId="9779"/>
    <cellStyle name="强调文字颜色 1 2 3" xfId="2195"/>
    <cellStyle name="强调文字颜色 1 2 3 2" xfId="1248"/>
    <cellStyle name="强调文字颜色 1 2 3 2 2" xfId="1250"/>
    <cellStyle name="强调文字颜色 1 2 3 2 2 2" xfId="4714"/>
    <cellStyle name="强调文字颜色 1 2 3 2 2 2 2" xfId="9780"/>
    <cellStyle name="强调文字颜色 1 2 3 2 2 2 3" xfId="9781"/>
    <cellStyle name="强调文字颜色 1 2 3 2 2 2 3 2" xfId="9782"/>
    <cellStyle name="强调文字颜色 1 2 3 2 3" xfId="4713"/>
    <cellStyle name="强调文字颜色 1 2 3 2 3 2" xfId="9783"/>
    <cellStyle name="强调文字颜色 1 2 3 2 3 3" xfId="9784"/>
    <cellStyle name="强调文字颜色 1 2 3 2 3 3 2" xfId="9785"/>
    <cellStyle name="强调文字颜色 1 2 3 3" xfId="1266"/>
    <cellStyle name="强调文字颜色 1 2 3 3 2" xfId="4715"/>
    <cellStyle name="强调文字颜色 1 2 3 3 2 2" xfId="9786"/>
    <cellStyle name="强调文字颜色 1 2 3 3 2 3" xfId="9787"/>
    <cellStyle name="强调文字颜色 1 2 3 3 2 3 2" xfId="9788"/>
    <cellStyle name="强调文字颜色 1 2 3 4" xfId="2733"/>
    <cellStyle name="强调文字颜色 1 2 3 4 2" xfId="9789"/>
    <cellStyle name="强调文字颜色 1 2 3 4 3" xfId="9790"/>
    <cellStyle name="强调文字颜色 1 2 3 4 3 2" xfId="9791"/>
    <cellStyle name="强调文字颜色 1 2 3 5" xfId="4712"/>
    <cellStyle name="强调文字颜色 1 2 3 5 2" xfId="9792"/>
    <cellStyle name="强调文字颜色 1 2 3 5 3" xfId="9793"/>
    <cellStyle name="强调文字颜色 1 2 3 5 3 2" xfId="9794"/>
    <cellStyle name="强调文字颜色 1 2 4" xfId="2196"/>
    <cellStyle name="强调文字颜色 1 2 4 2" xfId="2198"/>
    <cellStyle name="强调文字颜色 1 2 4 2 2" xfId="4717"/>
    <cellStyle name="强调文字颜色 1 2 4 2 2 2" xfId="9795"/>
    <cellStyle name="强调文字颜色 1 2 4 2 2 3" xfId="9796"/>
    <cellStyle name="强调文字颜色 1 2 4 2 2 3 2" xfId="9797"/>
    <cellStyle name="强调文字颜色 1 2 4 3" xfId="4716"/>
    <cellStyle name="强调文字颜色 1 2 4 3 2" xfId="9798"/>
    <cellStyle name="强调文字颜色 1 2 4 3 3" xfId="9799"/>
    <cellStyle name="强调文字颜色 1 2 4 3 3 2" xfId="9800"/>
    <cellStyle name="强调文字颜色 1 2 5" xfId="2199"/>
    <cellStyle name="强调文字颜色 1 2 5 2" xfId="4718"/>
    <cellStyle name="强调文字颜色 1 2 5 2 2" xfId="9801"/>
    <cellStyle name="强调文字颜色 1 2 5 2 3" xfId="9802"/>
    <cellStyle name="强调文字颜色 1 2 5 2 3 2" xfId="9803"/>
    <cellStyle name="强调文字颜色 1 2 6" xfId="2729"/>
    <cellStyle name="强调文字颜色 1 2 6 2" xfId="9804"/>
    <cellStyle name="强调文字颜色 1 2 6 3" xfId="9805"/>
    <cellStyle name="强调文字颜色 1 2 6 3 2" xfId="9806"/>
    <cellStyle name="强调文字颜色 1 2 7" xfId="4710"/>
    <cellStyle name="强调文字颜色 1 2 7 2" xfId="9807"/>
    <cellStyle name="强调文字颜色 1 2 7 3" xfId="9808"/>
    <cellStyle name="强调文字颜色 1 2 7 3 2" xfId="9809"/>
    <cellStyle name="强调文字颜色 1 3" xfId="1567"/>
    <cellStyle name="强调文字颜色 1 3 2" xfId="2200"/>
    <cellStyle name="强调文字颜色 1 3 2 2" xfId="2201"/>
    <cellStyle name="强调文字颜色 1 3 2 2 2" xfId="2202"/>
    <cellStyle name="强调文字颜色 1 3 2 2 2 2" xfId="4721"/>
    <cellStyle name="强调文字颜色 1 3 2 2 2 2 2" xfId="9810"/>
    <cellStyle name="强调文字颜色 1 3 2 2 2 2 3" xfId="9811"/>
    <cellStyle name="强调文字颜色 1 3 2 2 2 2 3 2" xfId="9812"/>
    <cellStyle name="强调文字颜色 1 3 2 2 3" xfId="4720"/>
    <cellStyle name="强调文字颜色 1 3 2 2 3 2" xfId="9813"/>
    <cellStyle name="强调文字颜色 1 3 2 2 3 3" xfId="9814"/>
    <cellStyle name="强调文字颜色 1 3 2 2 3 3 2" xfId="9815"/>
    <cellStyle name="强调文字颜色 1 3 2 3" xfId="1835"/>
    <cellStyle name="强调文字颜色 1 3 2 3 2" xfId="4722"/>
    <cellStyle name="强调文字颜色 1 3 2 3 2 2" xfId="9816"/>
    <cellStyle name="强调文字颜色 1 3 2 3 2 3" xfId="9817"/>
    <cellStyle name="强调文字颜色 1 3 2 3 2 3 2" xfId="9818"/>
    <cellStyle name="强调文字颜色 1 3 2 4" xfId="4719"/>
    <cellStyle name="强调文字颜色 1 3 2 4 2" xfId="9819"/>
    <cellStyle name="强调文字颜色 1 3 2 4 3" xfId="9820"/>
    <cellStyle name="强调文字颜色 1 3 2 4 3 2" xfId="9821"/>
    <cellStyle name="强调文字颜色 1 3 3" xfId="2203"/>
    <cellStyle name="强调文字颜色 1 3 3 2" xfId="2204"/>
    <cellStyle name="强调文字颜色 1 3 3 2 2" xfId="4724"/>
    <cellStyle name="强调文字颜色 1 3 3 2 2 2" xfId="9822"/>
    <cellStyle name="强调文字颜色 1 3 3 2 2 3" xfId="9823"/>
    <cellStyle name="强调文字颜色 1 3 3 2 2 3 2" xfId="9824"/>
    <cellStyle name="强调文字颜色 1 3 3 3" xfId="4723"/>
    <cellStyle name="强调文字颜色 1 3 3 3 2" xfId="9825"/>
    <cellStyle name="强调文字颜色 1 3 3 3 3" xfId="9826"/>
    <cellStyle name="强调文字颜色 1 3 3 3 3 2" xfId="9827"/>
    <cellStyle name="强调文字颜色 1 3 4" xfId="1399"/>
    <cellStyle name="强调文字颜色 1 3 4 2" xfId="4725"/>
    <cellStyle name="强调文字颜色 1 3 4 2 2" xfId="9828"/>
    <cellStyle name="强调文字颜色 1 3 4 2 3" xfId="9829"/>
    <cellStyle name="强调文字颜色 1 3 4 2 3 2" xfId="9830"/>
    <cellStyle name="强调文字颜色 1 3 5" xfId="2734"/>
    <cellStyle name="强调文字颜色 1 3 5 2" xfId="9831"/>
    <cellStyle name="强调文字颜色 1 3 5 3" xfId="9832"/>
    <cellStyle name="强调文字颜色 1 3 5 3 2" xfId="9833"/>
    <cellStyle name="强调文字颜色 1 4" xfId="1569"/>
    <cellStyle name="强调文字颜色 1 4 2" xfId="2205"/>
    <cellStyle name="强调文字颜色 1 4 2 2" xfId="2206"/>
    <cellStyle name="强调文字颜色 1 4 2 2 2" xfId="4728"/>
    <cellStyle name="强调文字颜色 1 4 2 2 2 2" xfId="9834"/>
    <cellStyle name="强调文字颜色 1 4 2 2 2 3" xfId="9835"/>
    <cellStyle name="强调文字颜色 1 4 2 2 2 3 2" xfId="9836"/>
    <cellStyle name="强调文字颜色 1 4 2 3" xfId="4727"/>
    <cellStyle name="强调文字颜色 1 4 2 3 2" xfId="9837"/>
    <cellStyle name="强调文字颜色 1 4 2 3 3" xfId="9838"/>
    <cellStyle name="强调文字颜色 1 4 2 3 3 2" xfId="9839"/>
    <cellStyle name="强调文字颜色 1 4 3" xfId="2207"/>
    <cellStyle name="强调文字颜色 1 4 3 2" xfId="4729"/>
    <cellStyle name="强调文字颜色 1 4 3 2 2" xfId="9840"/>
    <cellStyle name="强调文字颜色 1 4 3 2 3" xfId="9841"/>
    <cellStyle name="强调文字颜色 1 4 3 2 3 2" xfId="9842"/>
    <cellStyle name="强调文字颜色 1 4 4" xfId="4726"/>
    <cellStyle name="强调文字颜色 1 4 4 2" xfId="9843"/>
    <cellStyle name="强调文字颜色 1 4 4 3" xfId="9844"/>
    <cellStyle name="强调文字颜色 1 4 4 3 2" xfId="9845"/>
    <cellStyle name="强调文字颜色 1 5" xfId="1307"/>
    <cellStyle name="强调文字颜色 1 5 2" xfId="1310"/>
    <cellStyle name="强调文字颜色 1 5 2 2" xfId="1692"/>
    <cellStyle name="强调文字颜色 1 5 2 2 2" xfId="4732"/>
    <cellStyle name="强调文字颜色 1 5 2 2 2 2" xfId="9846"/>
    <cellStyle name="强调文字颜色 1 5 2 2 2 3" xfId="9847"/>
    <cellStyle name="强调文字颜色 1 5 2 2 2 3 2" xfId="9848"/>
    <cellStyle name="强调文字颜色 1 5 2 3" xfId="4731"/>
    <cellStyle name="强调文字颜色 1 5 2 3 2" xfId="9849"/>
    <cellStyle name="强调文字颜色 1 5 2 3 3" xfId="9850"/>
    <cellStyle name="强调文字颜色 1 5 2 3 3 2" xfId="9851"/>
    <cellStyle name="强调文字颜色 1 5 3" xfId="2209"/>
    <cellStyle name="强调文字颜色 1 5 3 2" xfId="4733"/>
    <cellStyle name="强调文字颜色 1 5 3 2 2" xfId="9852"/>
    <cellStyle name="强调文字颜色 1 5 3 2 3" xfId="9853"/>
    <cellStyle name="强调文字颜色 1 5 3 2 3 2" xfId="9854"/>
    <cellStyle name="强调文字颜色 1 5 4" xfId="4730"/>
    <cellStyle name="强调文字颜色 1 5 4 2" xfId="9855"/>
    <cellStyle name="强调文字颜色 1 5 4 3" xfId="9856"/>
    <cellStyle name="强调文字颜色 1 5 4 3 2" xfId="9857"/>
    <cellStyle name="强调文字颜色 1 6" xfId="1312"/>
    <cellStyle name="强调文字颜色 1 6 2" xfId="2210"/>
    <cellStyle name="强调文字颜色 1 6 2 2" xfId="4735"/>
    <cellStyle name="强调文字颜色 1 6 2 2 2" xfId="9858"/>
    <cellStyle name="强调文字颜色 1 6 2 2 3" xfId="9859"/>
    <cellStyle name="强调文字颜色 1 6 2 2 3 2" xfId="9860"/>
    <cellStyle name="强调文字颜色 1 6 3" xfId="4734"/>
    <cellStyle name="强调文字颜色 1 6 3 2" xfId="9861"/>
    <cellStyle name="强调文字颜色 1 6 3 3" xfId="9862"/>
    <cellStyle name="强调文字颜色 1 6 3 3 2" xfId="9863"/>
    <cellStyle name="强调文字颜色 1 7" xfId="2211"/>
    <cellStyle name="强调文字颜色 1 7 2" xfId="4736"/>
    <cellStyle name="强调文字颜色 1 7 2 2" xfId="9864"/>
    <cellStyle name="强调文字颜色 1 7 2 3" xfId="9865"/>
    <cellStyle name="强调文字颜色 1 7 2 3 2" xfId="9866"/>
    <cellStyle name="强调文字颜色 1 8" xfId="2728"/>
    <cellStyle name="强调文字颜色 1 8 2" xfId="9867"/>
    <cellStyle name="强调文字颜色 1 8 3" xfId="9868"/>
    <cellStyle name="强调文字颜色 1 8 3 2" xfId="9869"/>
    <cellStyle name="强调文字颜色 1 9" xfId="4709"/>
    <cellStyle name="强调文字颜色 1 9 2" xfId="9870"/>
    <cellStyle name="强调文字颜色 1 9 3" xfId="9871"/>
    <cellStyle name="强调文字颜色 1 9 3 2" xfId="9872"/>
    <cellStyle name="强调文字颜色 2" xfId="822"/>
    <cellStyle name="强调文字颜色 2 2" xfId="1571"/>
    <cellStyle name="强调文字颜色 2 2 2" xfId="2212"/>
    <cellStyle name="强调文字颜色 2 2 2 2" xfId="556"/>
    <cellStyle name="强调文字颜色 2 2 2 2 2" xfId="210"/>
    <cellStyle name="强调文字颜色 2 2 2 2 2 2" xfId="4739"/>
    <cellStyle name="强调文字颜色 2 2 2 2 2 2 2" xfId="9873"/>
    <cellStyle name="强调文字颜色 2 2 2 2 2 2 3" xfId="9874"/>
    <cellStyle name="强调文字颜色 2 2 2 2 2 2 3 2" xfId="9875"/>
    <cellStyle name="强调文字颜色 2 2 2 2 3" xfId="2738"/>
    <cellStyle name="强调文字颜色 2 2 2 2 3 2" xfId="9876"/>
    <cellStyle name="强调文字颜色 2 2 2 2 3 3" xfId="9877"/>
    <cellStyle name="强调文字颜色 2 2 2 2 3 3 2" xfId="9878"/>
    <cellStyle name="强调文字颜色 2 2 2 3" xfId="490"/>
    <cellStyle name="强调文字颜色 2 2 2 3 2" xfId="2739"/>
    <cellStyle name="强调文字颜色 2 2 2 3 2 2" xfId="9879"/>
    <cellStyle name="强调文字颜色 2 2 2 3 2 3" xfId="9880"/>
    <cellStyle name="强调文字颜色 2 2 2 3 2 3 2" xfId="9881"/>
    <cellStyle name="强调文字颜色 2 2 2 4" xfId="2737"/>
    <cellStyle name="强调文字颜色 2 2 2 4 2" xfId="9882"/>
    <cellStyle name="强调文字颜色 2 2 2 4 3" xfId="9883"/>
    <cellStyle name="强调文字颜色 2 2 2 4 3 2" xfId="9884"/>
    <cellStyle name="强调文字颜色 2 2 3" xfId="2213"/>
    <cellStyle name="强调文字颜色 2 2 3 2" xfId="574"/>
    <cellStyle name="强调文字颜色 2 2 3 2 2" xfId="63"/>
    <cellStyle name="强调文字颜色 2 2 3 2 2 2" xfId="4742"/>
    <cellStyle name="强调文字颜色 2 2 3 2 2 2 2" xfId="9885"/>
    <cellStyle name="强调文字颜色 2 2 3 2 2 2 3" xfId="9886"/>
    <cellStyle name="强调文字颜色 2 2 3 2 2 2 3 2" xfId="9887"/>
    <cellStyle name="强调文字颜色 2 2 3 2 3" xfId="4741"/>
    <cellStyle name="强调文字颜色 2 2 3 2 3 2" xfId="9888"/>
    <cellStyle name="强调文字颜色 2 2 3 2 3 3" xfId="9889"/>
    <cellStyle name="强调文字颜色 2 2 3 2 3 3 2" xfId="9890"/>
    <cellStyle name="强调文字颜色 2 2 3 3" xfId="581"/>
    <cellStyle name="强调文字颜色 2 2 3 3 2" xfId="4743"/>
    <cellStyle name="强调文字颜色 2 2 3 3 2 2" xfId="9891"/>
    <cellStyle name="强调文字颜色 2 2 3 3 2 3" xfId="9892"/>
    <cellStyle name="强调文字颜色 2 2 3 3 2 3 2" xfId="9893"/>
    <cellStyle name="强调文字颜色 2 2 3 4" xfId="2740"/>
    <cellStyle name="强调文字颜色 2 2 3 4 2" xfId="9894"/>
    <cellStyle name="强调文字颜色 2 2 3 4 3" xfId="9895"/>
    <cellStyle name="强调文字颜色 2 2 3 4 3 2" xfId="9896"/>
    <cellStyle name="强调文字颜色 2 2 3 5" xfId="4740"/>
    <cellStyle name="强调文字颜色 2 2 3 5 2" xfId="9897"/>
    <cellStyle name="强调文字颜色 2 2 3 5 3" xfId="9898"/>
    <cellStyle name="强调文字颜色 2 2 3 5 3 2" xfId="9899"/>
    <cellStyle name="强调文字颜色 2 2 4" xfId="2214"/>
    <cellStyle name="强调文字颜色 2 2 4 2" xfId="598"/>
    <cellStyle name="强调文字颜色 2 2 4 2 2" xfId="4745"/>
    <cellStyle name="强调文字颜色 2 2 4 2 2 2" xfId="9900"/>
    <cellStyle name="强调文字颜色 2 2 4 2 2 3" xfId="9901"/>
    <cellStyle name="强调文字颜色 2 2 4 2 2 3 2" xfId="9902"/>
    <cellStyle name="强调文字颜色 2 2 4 3" xfId="4744"/>
    <cellStyle name="强调文字颜色 2 2 4 3 2" xfId="9903"/>
    <cellStyle name="强调文字颜色 2 2 4 3 3" xfId="9904"/>
    <cellStyle name="强调文字颜色 2 2 4 3 3 2" xfId="9905"/>
    <cellStyle name="强调文字颜色 2 2 5" xfId="2197"/>
    <cellStyle name="强调文字颜色 2 2 5 2" xfId="4746"/>
    <cellStyle name="强调文字颜色 2 2 5 2 2" xfId="9906"/>
    <cellStyle name="强调文字颜色 2 2 5 2 3" xfId="9907"/>
    <cellStyle name="强调文字颜色 2 2 5 2 3 2" xfId="9908"/>
    <cellStyle name="强调文字颜色 2 2 6" xfId="2736"/>
    <cellStyle name="强调文字颜色 2 2 6 2" xfId="9909"/>
    <cellStyle name="强调文字颜色 2 2 6 3" xfId="9910"/>
    <cellStyle name="强调文字颜色 2 2 6 3 2" xfId="9911"/>
    <cellStyle name="强调文字颜色 2 2 7" xfId="4738"/>
    <cellStyle name="强调文字颜色 2 2 7 2" xfId="9912"/>
    <cellStyle name="强调文字颜色 2 2 7 3" xfId="9913"/>
    <cellStyle name="强调文字颜色 2 2 7 3 2" xfId="9914"/>
    <cellStyle name="强调文字颜色 2 3" xfId="1573"/>
    <cellStyle name="强调文字颜色 2 3 2" xfId="2216"/>
    <cellStyle name="强调文字颜色 2 3 2 2" xfId="1684"/>
    <cellStyle name="强调文字颜色 2 3 2 2 2" xfId="2218"/>
    <cellStyle name="强调文字颜色 2 3 2 2 2 2" xfId="4749"/>
    <cellStyle name="强调文字颜色 2 3 2 2 2 2 2" xfId="9915"/>
    <cellStyle name="强调文字颜色 2 3 2 2 2 2 3" xfId="9916"/>
    <cellStyle name="强调文字颜色 2 3 2 2 2 2 3 2" xfId="9917"/>
    <cellStyle name="强调文字颜色 2 3 2 2 3" xfId="4748"/>
    <cellStyle name="强调文字颜色 2 3 2 2 3 2" xfId="9918"/>
    <cellStyle name="强调文字颜色 2 3 2 2 3 3" xfId="9919"/>
    <cellStyle name="强调文字颜色 2 3 2 2 3 3 2" xfId="9920"/>
    <cellStyle name="强调文字颜色 2 3 2 3" xfId="535"/>
    <cellStyle name="强调文字颜色 2 3 2 3 2" xfId="4750"/>
    <cellStyle name="强调文字颜色 2 3 2 3 2 2" xfId="9921"/>
    <cellStyle name="强调文字颜色 2 3 2 3 2 3" xfId="9922"/>
    <cellStyle name="强调文字颜色 2 3 2 3 2 3 2" xfId="9923"/>
    <cellStyle name="强调文字颜色 2 3 2 4" xfId="4747"/>
    <cellStyle name="强调文字颜色 2 3 2 4 2" xfId="9924"/>
    <cellStyle name="强调文字颜色 2 3 2 4 3" xfId="9925"/>
    <cellStyle name="强调文字颜色 2 3 2 4 3 2" xfId="9926"/>
    <cellStyle name="强调文字颜色 2 3 3" xfId="1851"/>
    <cellStyle name="强调文字颜色 2 3 3 2" xfId="1726"/>
    <cellStyle name="强调文字颜色 2 3 3 2 2" xfId="4752"/>
    <cellStyle name="强调文字颜色 2 3 3 2 2 2" xfId="9927"/>
    <cellStyle name="强调文字颜色 2 3 3 2 2 3" xfId="9928"/>
    <cellStyle name="强调文字颜色 2 3 3 2 2 3 2" xfId="9929"/>
    <cellStyle name="强调文字颜色 2 3 3 3" xfId="4751"/>
    <cellStyle name="强调文字颜色 2 3 3 3 2" xfId="9930"/>
    <cellStyle name="强调文字颜色 2 3 3 3 3" xfId="9931"/>
    <cellStyle name="强调文字颜色 2 3 3 3 3 2" xfId="9932"/>
    <cellStyle name="强调文字颜色 2 3 4" xfId="1426"/>
    <cellStyle name="强调文字颜色 2 3 4 2" xfId="4753"/>
    <cellStyle name="强调文字颜色 2 3 4 2 2" xfId="9933"/>
    <cellStyle name="强调文字颜色 2 3 4 2 3" xfId="9934"/>
    <cellStyle name="强调文字颜色 2 3 4 2 3 2" xfId="9935"/>
    <cellStyle name="强调文字颜色 2 3 5" xfId="2741"/>
    <cellStyle name="强调文字颜色 2 3 5 2" xfId="9936"/>
    <cellStyle name="强调文字颜色 2 3 5 3" xfId="9937"/>
    <cellStyle name="强调文字颜色 2 3 5 3 2" xfId="9938"/>
    <cellStyle name="强调文字颜色 2 4" xfId="2219"/>
    <cellStyle name="强调文字颜色 2 4 2" xfId="2220"/>
    <cellStyle name="强调文字颜色 2 4 2 2" xfId="2221"/>
    <cellStyle name="强调文字颜色 2 4 2 2 2" xfId="4756"/>
    <cellStyle name="强调文字颜色 2 4 2 2 2 2" xfId="9939"/>
    <cellStyle name="强调文字颜色 2 4 2 2 2 3" xfId="9940"/>
    <cellStyle name="强调文字颜色 2 4 2 2 2 3 2" xfId="9941"/>
    <cellStyle name="强调文字颜色 2 4 2 3" xfId="4755"/>
    <cellStyle name="强调文字颜色 2 4 2 3 2" xfId="9942"/>
    <cellStyle name="强调文字颜色 2 4 2 3 3" xfId="9943"/>
    <cellStyle name="强调文字颜色 2 4 2 3 3 2" xfId="9944"/>
    <cellStyle name="强调文字颜色 2 4 3" xfId="2222"/>
    <cellStyle name="强调文字颜色 2 4 3 2" xfId="4757"/>
    <cellStyle name="强调文字颜色 2 4 3 2 2" xfId="9945"/>
    <cellStyle name="强调文字颜色 2 4 3 2 3" xfId="9946"/>
    <cellStyle name="强调文字颜色 2 4 3 2 3 2" xfId="9947"/>
    <cellStyle name="强调文字颜色 2 4 4" xfId="4754"/>
    <cellStyle name="强调文字颜色 2 4 4 2" xfId="9948"/>
    <cellStyle name="强调文字颜色 2 4 4 3" xfId="9949"/>
    <cellStyle name="强调文字颜色 2 4 4 3 2" xfId="9950"/>
    <cellStyle name="强调文字颜色 2 5" xfId="1316"/>
    <cellStyle name="强调文字颜色 2 5 2" xfId="2223"/>
    <cellStyle name="强调文字颜色 2 5 2 2" xfId="2224"/>
    <cellStyle name="强调文字颜色 2 5 2 2 2" xfId="4760"/>
    <cellStyle name="强调文字颜色 2 5 2 2 2 2" xfId="9951"/>
    <cellStyle name="强调文字颜色 2 5 2 2 2 3" xfId="9952"/>
    <cellStyle name="强调文字颜色 2 5 2 2 2 3 2" xfId="9953"/>
    <cellStyle name="强调文字颜色 2 5 2 3" xfId="4759"/>
    <cellStyle name="强调文字颜色 2 5 2 3 2" xfId="9954"/>
    <cellStyle name="强调文字颜色 2 5 2 3 3" xfId="9955"/>
    <cellStyle name="强调文字颜色 2 5 2 3 3 2" xfId="9956"/>
    <cellStyle name="强调文字颜色 2 5 3" xfId="2225"/>
    <cellStyle name="强调文字颜色 2 5 3 2" xfId="4761"/>
    <cellStyle name="强调文字颜色 2 5 3 2 2" xfId="9957"/>
    <cellStyle name="强调文字颜色 2 5 3 2 3" xfId="9958"/>
    <cellStyle name="强调文字颜色 2 5 3 2 3 2" xfId="9959"/>
    <cellStyle name="强调文字颜色 2 5 4" xfId="4758"/>
    <cellStyle name="强调文字颜色 2 5 4 2" xfId="9960"/>
    <cellStyle name="强调文字颜色 2 5 4 3" xfId="9961"/>
    <cellStyle name="强调文字颜色 2 5 4 3 2" xfId="9962"/>
    <cellStyle name="强调文字颜色 2 6" xfId="2226"/>
    <cellStyle name="强调文字颜色 2 6 2" xfId="2227"/>
    <cellStyle name="强调文字颜色 2 6 2 2" xfId="4763"/>
    <cellStyle name="强调文字颜色 2 6 2 2 2" xfId="9963"/>
    <cellStyle name="强调文字颜色 2 6 2 2 3" xfId="9964"/>
    <cellStyle name="强调文字颜色 2 6 2 2 3 2" xfId="9965"/>
    <cellStyle name="强调文字颜色 2 6 3" xfId="4762"/>
    <cellStyle name="强调文字颜色 2 6 3 2" xfId="9966"/>
    <cellStyle name="强调文字颜色 2 6 3 3" xfId="9967"/>
    <cellStyle name="强调文字颜色 2 6 3 3 2" xfId="9968"/>
    <cellStyle name="强调文字颜色 2 7" xfId="2228"/>
    <cellStyle name="强调文字颜色 2 7 2" xfId="4764"/>
    <cellStyle name="强调文字颜色 2 7 2 2" xfId="9969"/>
    <cellStyle name="强调文字颜色 2 7 2 3" xfId="9970"/>
    <cellStyle name="强调文字颜色 2 7 2 3 2" xfId="9971"/>
    <cellStyle name="强调文字颜色 2 8" xfId="2735"/>
    <cellStyle name="强调文字颜色 2 8 2" xfId="9972"/>
    <cellStyle name="强调文字颜色 2 8 3" xfId="9973"/>
    <cellStyle name="强调文字颜色 2 8 3 2" xfId="9974"/>
    <cellStyle name="强调文字颜色 2 9" xfId="4737"/>
    <cellStyle name="强调文字颜色 2 9 2" xfId="9975"/>
    <cellStyle name="强调文字颜色 2 9 3" xfId="9976"/>
    <cellStyle name="强调文字颜色 2 9 3 2" xfId="9977"/>
    <cellStyle name="强调文字颜色 3" xfId="1575"/>
    <cellStyle name="强调文字颜色 3 2" xfId="1578"/>
    <cellStyle name="强调文字颜色 3 2 2" xfId="2229"/>
    <cellStyle name="强调文字颜色 3 2 2 2" xfId="172"/>
    <cellStyle name="强调文字颜色 3 2 2 2 2" xfId="174"/>
    <cellStyle name="强调文字颜色 3 2 2 2 2 2" xfId="4767"/>
    <cellStyle name="强调文字颜色 3 2 2 2 2 2 2" xfId="9978"/>
    <cellStyle name="强调文字颜色 3 2 2 2 2 2 3" xfId="9979"/>
    <cellStyle name="强调文字颜色 3 2 2 2 2 2 3 2" xfId="9980"/>
    <cellStyle name="强调文字颜色 3 2 2 2 3" xfId="2745"/>
    <cellStyle name="强调文字颜色 3 2 2 2 3 2" xfId="9981"/>
    <cellStyle name="强调文字颜色 3 2 2 2 3 3" xfId="9982"/>
    <cellStyle name="强调文字颜色 3 2 2 2 3 3 2" xfId="9983"/>
    <cellStyle name="强调文字颜色 3 2 2 3" xfId="176"/>
    <cellStyle name="强调文字颜色 3 2 2 3 2" xfId="2746"/>
    <cellStyle name="强调文字颜色 3 2 2 3 2 2" xfId="9984"/>
    <cellStyle name="强调文字颜色 3 2 2 3 2 3" xfId="9985"/>
    <cellStyle name="强调文字颜色 3 2 2 3 2 3 2" xfId="9986"/>
    <cellStyle name="强调文字颜色 3 2 2 4" xfId="2744"/>
    <cellStyle name="强调文字颜色 3 2 2 4 2" xfId="9987"/>
    <cellStyle name="强调文字颜色 3 2 2 4 3" xfId="9988"/>
    <cellStyle name="强调文字颜色 3 2 2 4 3 2" xfId="9989"/>
    <cellStyle name="强调文字颜色 3 2 3" xfId="2230"/>
    <cellStyle name="强调文字颜色 3 2 3 2" xfId="186"/>
    <cellStyle name="强调文字颜色 3 2 3 2 2" xfId="2231"/>
    <cellStyle name="强调文字颜色 3 2 3 2 2 2" xfId="4770"/>
    <cellStyle name="强调文字颜色 3 2 3 2 2 2 2" xfId="9990"/>
    <cellStyle name="强调文字颜色 3 2 3 2 2 2 3" xfId="9991"/>
    <cellStyle name="强调文字颜色 3 2 3 2 2 2 3 2" xfId="9992"/>
    <cellStyle name="强调文字颜色 3 2 3 2 3" xfId="4769"/>
    <cellStyle name="强调文字颜色 3 2 3 2 3 2" xfId="9993"/>
    <cellStyle name="强调文字颜色 3 2 3 2 3 3" xfId="9994"/>
    <cellStyle name="强调文字颜色 3 2 3 2 3 3 2" xfId="9995"/>
    <cellStyle name="强调文字颜色 3 2 3 3" xfId="1292"/>
    <cellStyle name="强调文字颜色 3 2 3 3 2" xfId="4771"/>
    <cellStyle name="强调文字颜色 3 2 3 3 2 2" xfId="9996"/>
    <cellStyle name="强调文字颜色 3 2 3 3 2 3" xfId="9997"/>
    <cellStyle name="强调文字颜色 3 2 3 3 2 3 2" xfId="9998"/>
    <cellStyle name="强调文字颜色 3 2 3 4" xfId="2747"/>
    <cellStyle name="强调文字颜色 3 2 3 4 2" xfId="9999"/>
    <cellStyle name="强调文字颜色 3 2 3 4 3" xfId="10000"/>
    <cellStyle name="强调文字颜色 3 2 3 4 3 2" xfId="10001"/>
    <cellStyle name="强调文字颜色 3 2 3 5" xfId="4768"/>
    <cellStyle name="强调文字颜色 3 2 3 5 2" xfId="10002"/>
    <cellStyle name="强调文字颜色 3 2 3 5 3" xfId="10003"/>
    <cellStyle name="强调文字颜色 3 2 3 5 3 2" xfId="10004"/>
    <cellStyle name="强调文字颜色 3 2 4" xfId="2232"/>
    <cellStyle name="强调文字颜色 3 2 4 2" xfId="191"/>
    <cellStyle name="强调文字颜色 3 2 4 2 2" xfId="4773"/>
    <cellStyle name="强调文字颜色 3 2 4 2 2 2" xfId="10005"/>
    <cellStyle name="强调文字颜色 3 2 4 2 2 3" xfId="10006"/>
    <cellStyle name="强调文字颜色 3 2 4 2 2 3 2" xfId="10007"/>
    <cellStyle name="强调文字颜色 3 2 4 3" xfId="4772"/>
    <cellStyle name="强调文字颜色 3 2 4 3 2" xfId="10008"/>
    <cellStyle name="强调文字颜色 3 2 4 3 3" xfId="10009"/>
    <cellStyle name="强调文字颜色 3 2 4 3 3 2" xfId="10010"/>
    <cellStyle name="强调文字颜色 3 2 5" xfId="1402"/>
    <cellStyle name="强调文字颜色 3 2 5 2" xfId="4774"/>
    <cellStyle name="强调文字颜色 3 2 5 2 2" xfId="10011"/>
    <cellStyle name="强调文字颜色 3 2 5 2 3" xfId="10012"/>
    <cellStyle name="强调文字颜色 3 2 5 2 3 2" xfId="10013"/>
    <cellStyle name="强调文字颜色 3 2 6" xfId="2743"/>
    <cellStyle name="强调文字颜色 3 2 6 2" xfId="10014"/>
    <cellStyle name="强调文字颜色 3 2 6 3" xfId="10015"/>
    <cellStyle name="强调文字颜色 3 2 6 3 2" xfId="10016"/>
    <cellStyle name="强调文字颜色 3 2 7" xfId="4766"/>
    <cellStyle name="强调文字颜色 3 2 7 2" xfId="10017"/>
    <cellStyle name="强调文字颜色 3 2 7 3" xfId="10018"/>
    <cellStyle name="强调文字颜色 3 2 7 3 2" xfId="10019"/>
    <cellStyle name="强调文字颜色 3 3" xfId="1580"/>
    <cellStyle name="强调文字颜色 3 3 2" xfId="2233"/>
    <cellStyle name="强调文字颜色 3 3 2 2" xfId="246"/>
    <cellStyle name="强调文字颜色 3 3 2 2 2" xfId="249"/>
    <cellStyle name="强调文字颜色 3 3 2 2 2 2" xfId="4777"/>
    <cellStyle name="强调文字颜色 3 3 2 2 2 2 2" xfId="10020"/>
    <cellStyle name="强调文字颜色 3 3 2 2 2 2 3" xfId="10021"/>
    <cellStyle name="强调文字颜色 3 3 2 2 2 2 3 2" xfId="10022"/>
    <cellStyle name="强调文字颜色 3 3 2 2 3" xfId="4776"/>
    <cellStyle name="强调文字颜色 3 3 2 2 3 2" xfId="10023"/>
    <cellStyle name="强调文字颜色 3 3 2 2 3 3" xfId="10024"/>
    <cellStyle name="强调文字颜色 3 3 2 2 3 3 2" xfId="10025"/>
    <cellStyle name="强调文字颜色 3 3 2 3" xfId="262"/>
    <cellStyle name="强调文字颜色 3 3 2 3 2" xfId="4778"/>
    <cellStyle name="强调文字颜色 3 3 2 3 2 2" xfId="10026"/>
    <cellStyle name="强调文字颜色 3 3 2 3 2 3" xfId="10027"/>
    <cellStyle name="强调文字颜色 3 3 2 3 2 3 2" xfId="10028"/>
    <cellStyle name="强调文字颜色 3 3 2 4" xfId="4775"/>
    <cellStyle name="强调文字颜色 3 3 2 4 2" xfId="10029"/>
    <cellStyle name="强调文字颜色 3 3 2 4 3" xfId="10030"/>
    <cellStyle name="强调文字颜色 3 3 2 4 3 2" xfId="10031"/>
    <cellStyle name="强调文字颜色 3 3 3" xfId="855"/>
    <cellStyle name="强调文字颜色 3 3 3 2" xfId="276"/>
    <cellStyle name="强调文字颜色 3 3 3 2 2" xfId="4780"/>
    <cellStyle name="强调文字颜色 3 3 3 2 2 2" xfId="10032"/>
    <cellStyle name="强调文字颜色 3 3 3 2 2 3" xfId="10033"/>
    <cellStyle name="强调文字颜色 3 3 3 2 2 3 2" xfId="10034"/>
    <cellStyle name="强调文字颜色 3 3 3 3" xfId="4779"/>
    <cellStyle name="强调文字颜色 3 3 3 3 2" xfId="10035"/>
    <cellStyle name="强调文字颜色 3 3 3 3 3" xfId="10036"/>
    <cellStyle name="强调文字颜色 3 3 3 3 3 2" xfId="10037"/>
    <cellStyle name="强调文字颜色 3 3 4" xfId="857"/>
    <cellStyle name="强调文字颜色 3 3 4 2" xfId="4781"/>
    <cellStyle name="强调文字颜色 3 3 4 2 2" xfId="10038"/>
    <cellStyle name="强调文字颜色 3 3 4 2 3" xfId="10039"/>
    <cellStyle name="强调文字颜色 3 3 4 2 3 2" xfId="10040"/>
    <cellStyle name="强调文字颜色 3 3 5" xfId="2748"/>
    <cellStyle name="强调文字颜色 3 3 5 2" xfId="10041"/>
    <cellStyle name="强调文字颜色 3 3 5 3" xfId="10042"/>
    <cellStyle name="强调文字颜色 3 3 5 3 2" xfId="10043"/>
    <cellStyle name="强调文字颜色 3 4" xfId="1582"/>
    <cellStyle name="强调文字颜色 3 4 2" xfId="1699"/>
    <cellStyle name="强调文字颜色 3 4 2 2" xfId="2234"/>
    <cellStyle name="强调文字颜色 3 4 2 2 2" xfId="4784"/>
    <cellStyle name="强调文字颜色 3 4 2 2 2 2" xfId="10044"/>
    <cellStyle name="强调文字颜色 3 4 2 2 2 3" xfId="10045"/>
    <cellStyle name="强调文字颜色 3 4 2 2 2 3 2" xfId="10046"/>
    <cellStyle name="强调文字颜色 3 4 2 3" xfId="4783"/>
    <cellStyle name="强调文字颜色 3 4 2 3 2" xfId="10047"/>
    <cellStyle name="强调文字颜色 3 4 2 3 3" xfId="10048"/>
    <cellStyle name="强调文字颜色 3 4 2 3 3 2" xfId="10049"/>
    <cellStyle name="强调文字颜色 3 4 3" xfId="861"/>
    <cellStyle name="强调文字颜色 3 4 3 2" xfId="4785"/>
    <cellStyle name="强调文字颜色 3 4 3 2 2" xfId="10050"/>
    <cellStyle name="强调文字颜色 3 4 3 2 3" xfId="10051"/>
    <cellStyle name="强调文字颜色 3 4 3 2 3 2" xfId="10052"/>
    <cellStyle name="强调文字颜色 3 4 4" xfId="4782"/>
    <cellStyle name="强调文字颜色 3 4 4 2" xfId="10053"/>
    <cellStyle name="强调文字颜色 3 4 4 3" xfId="10054"/>
    <cellStyle name="强调文字颜色 3 4 4 3 2" xfId="10055"/>
    <cellStyle name="强调文字颜色 3 5" xfId="2235"/>
    <cellStyle name="强调文字颜色 3 5 2" xfId="1704"/>
    <cellStyle name="强调文字颜色 3 5 2 2" xfId="2236"/>
    <cellStyle name="强调文字颜色 3 5 2 2 2" xfId="4788"/>
    <cellStyle name="强调文字颜色 3 5 2 2 2 2" xfId="10056"/>
    <cellStyle name="强调文字颜色 3 5 2 2 2 3" xfId="10057"/>
    <cellStyle name="强调文字颜色 3 5 2 2 2 3 2" xfId="10058"/>
    <cellStyle name="强调文字颜色 3 5 2 3" xfId="4787"/>
    <cellStyle name="强调文字颜色 3 5 2 3 2" xfId="10059"/>
    <cellStyle name="强调文字颜色 3 5 2 3 3" xfId="10060"/>
    <cellStyle name="强调文字颜色 3 5 2 3 3 2" xfId="10061"/>
    <cellStyle name="强调文字颜色 3 5 3" xfId="2237"/>
    <cellStyle name="强调文字颜色 3 5 3 2" xfId="4789"/>
    <cellStyle name="强调文字颜色 3 5 3 2 2" xfId="10062"/>
    <cellStyle name="强调文字颜色 3 5 3 2 3" xfId="10063"/>
    <cellStyle name="强调文字颜色 3 5 3 2 3 2" xfId="10064"/>
    <cellStyle name="强调文字颜色 3 5 4" xfId="4786"/>
    <cellStyle name="强调文字颜色 3 5 4 2" xfId="10065"/>
    <cellStyle name="强调文字颜色 3 5 4 3" xfId="10066"/>
    <cellStyle name="强调文字颜色 3 5 4 3 2" xfId="10067"/>
    <cellStyle name="强调文字颜色 3 6" xfId="2238"/>
    <cellStyle name="强调文字颜色 3 6 2" xfId="1708"/>
    <cellStyle name="强调文字颜色 3 6 2 2" xfId="4791"/>
    <cellStyle name="强调文字颜色 3 6 2 2 2" xfId="10068"/>
    <cellStyle name="强调文字颜色 3 6 2 2 3" xfId="10069"/>
    <cellStyle name="强调文字颜色 3 6 2 2 3 2" xfId="10070"/>
    <cellStyle name="强调文字颜色 3 6 3" xfId="4790"/>
    <cellStyle name="强调文字颜色 3 6 3 2" xfId="10071"/>
    <cellStyle name="强调文字颜色 3 6 3 3" xfId="10072"/>
    <cellStyle name="强调文字颜色 3 6 3 3 2" xfId="10073"/>
    <cellStyle name="强调文字颜色 3 7" xfId="2239"/>
    <cellStyle name="强调文字颜色 3 7 2" xfId="4792"/>
    <cellStyle name="强调文字颜色 3 7 2 2" xfId="10074"/>
    <cellStyle name="强调文字颜色 3 7 2 3" xfId="10075"/>
    <cellStyle name="强调文字颜色 3 7 2 3 2" xfId="10076"/>
    <cellStyle name="强调文字颜色 3 8" xfId="2742"/>
    <cellStyle name="强调文字颜色 3 8 2" xfId="10077"/>
    <cellStyle name="强调文字颜色 3 8 3" xfId="10078"/>
    <cellStyle name="强调文字颜色 3 8 3 2" xfId="10079"/>
    <cellStyle name="强调文字颜色 3 9" xfId="4765"/>
    <cellStyle name="强调文字颜色 3 9 2" xfId="10080"/>
    <cellStyle name="强调文字颜色 3 9 3" xfId="10081"/>
    <cellStyle name="强调文字颜色 3 9 3 2" xfId="10082"/>
    <cellStyle name="强调文字颜色 4" xfId="1584"/>
    <cellStyle name="强调文字颜色 4 2" xfId="2240"/>
    <cellStyle name="强调文字颜色 4 2 2" xfId="2241"/>
    <cellStyle name="强调文字颜色 4 2 2 2" xfId="437"/>
    <cellStyle name="强调文字颜色 4 2 2 2 2" xfId="179"/>
    <cellStyle name="强调文字颜色 4 2 2 2 2 2" xfId="4795"/>
    <cellStyle name="强调文字颜色 4 2 2 2 2 2 2" xfId="10083"/>
    <cellStyle name="强调文字颜色 4 2 2 2 2 2 3" xfId="10084"/>
    <cellStyle name="强调文字颜色 4 2 2 2 2 2 3 2" xfId="10085"/>
    <cellStyle name="强调文字颜色 4 2 2 2 3" xfId="2752"/>
    <cellStyle name="强调文字颜色 4 2 2 2 3 2" xfId="10086"/>
    <cellStyle name="强调文字颜色 4 2 2 2 3 3" xfId="10087"/>
    <cellStyle name="强调文字颜色 4 2 2 2 3 3 2" xfId="10088"/>
    <cellStyle name="强调文字颜色 4 2 2 3" xfId="446"/>
    <cellStyle name="强调文字颜色 4 2 2 3 2" xfId="2753"/>
    <cellStyle name="强调文字颜色 4 2 2 3 2 2" xfId="10089"/>
    <cellStyle name="强调文字颜色 4 2 2 3 2 3" xfId="10090"/>
    <cellStyle name="强调文字颜色 4 2 2 3 2 3 2" xfId="10091"/>
    <cellStyle name="强调文字颜色 4 2 2 4" xfId="2751"/>
    <cellStyle name="强调文字颜色 4 2 2 4 2" xfId="10092"/>
    <cellStyle name="强调文字颜色 4 2 2 4 3" xfId="10093"/>
    <cellStyle name="强调文字颜色 4 2 2 4 3 2" xfId="10094"/>
    <cellStyle name="强调文字颜色 4 2 3" xfId="2242"/>
    <cellStyle name="强调文字颜色 4 2 3 2" xfId="459"/>
    <cellStyle name="强调文字颜色 4 2 3 2 2" xfId="267"/>
    <cellStyle name="强调文字颜色 4 2 3 2 2 2" xfId="4798"/>
    <cellStyle name="强调文字颜色 4 2 3 2 2 2 2" xfId="10095"/>
    <cellStyle name="强调文字颜色 4 2 3 2 2 2 3" xfId="10096"/>
    <cellStyle name="强调文字颜色 4 2 3 2 2 2 3 2" xfId="10097"/>
    <cellStyle name="强调文字颜色 4 2 3 2 3" xfId="4797"/>
    <cellStyle name="强调文字颜色 4 2 3 2 3 2" xfId="10098"/>
    <cellStyle name="强调文字颜色 4 2 3 2 3 3" xfId="10099"/>
    <cellStyle name="强调文字颜色 4 2 3 2 3 3 2" xfId="10100"/>
    <cellStyle name="强调文字颜色 4 2 3 3" xfId="544"/>
    <cellStyle name="强调文字颜色 4 2 3 3 2" xfId="4799"/>
    <cellStyle name="强调文字颜色 4 2 3 3 2 2" xfId="10101"/>
    <cellStyle name="强调文字颜色 4 2 3 3 2 3" xfId="10102"/>
    <cellStyle name="强调文字颜色 4 2 3 3 2 3 2" xfId="10103"/>
    <cellStyle name="强调文字颜色 4 2 3 4" xfId="2754"/>
    <cellStyle name="强调文字颜色 4 2 3 4 2" xfId="10104"/>
    <cellStyle name="强调文字颜色 4 2 3 4 3" xfId="10105"/>
    <cellStyle name="强调文字颜色 4 2 3 4 3 2" xfId="10106"/>
    <cellStyle name="强调文字颜色 4 2 3 5" xfId="4796"/>
    <cellStyle name="强调文字颜色 4 2 3 5 2" xfId="10107"/>
    <cellStyle name="强调文字颜色 4 2 3 5 3" xfId="10108"/>
    <cellStyle name="强调文字颜色 4 2 3 5 3 2" xfId="10109"/>
    <cellStyle name="强调文字颜色 4 2 4" xfId="2243"/>
    <cellStyle name="强调文字颜色 4 2 4 2" xfId="390"/>
    <cellStyle name="强调文字颜色 4 2 4 2 2" xfId="4801"/>
    <cellStyle name="强调文字颜色 4 2 4 2 2 2" xfId="10110"/>
    <cellStyle name="强调文字颜色 4 2 4 2 2 3" xfId="10111"/>
    <cellStyle name="强调文字颜色 4 2 4 2 2 3 2" xfId="10112"/>
    <cellStyle name="强调文字颜色 4 2 4 3" xfId="4800"/>
    <cellStyle name="强调文字颜色 4 2 4 3 2" xfId="10113"/>
    <cellStyle name="强调文字颜色 4 2 4 3 3" xfId="10114"/>
    <cellStyle name="强调文字颜色 4 2 4 3 3 2" xfId="10115"/>
    <cellStyle name="强调文字颜色 4 2 5" xfId="1411"/>
    <cellStyle name="强调文字颜色 4 2 5 2" xfId="4802"/>
    <cellStyle name="强调文字颜色 4 2 5 2 2" xfId="10116"/>
    <cellStyle name="强调文字颜色 4 2 5 2 3" xfId="10117"/>
    <cellStyle name="强调文字颜色 4 2 5 2 3 2" xfId="10118"/>
    <cellStyle name="强调文字颜色 4 2 6" xfId="2750"/>
    <cellStyle name="强调文字颜色 4 2 6 2" xfId="10119"/>
    <cellStyle name="强调文字颜色 4 2 6 3" xfId="10120"/>
    <cellStyle name="强调文字颜色 4 2 6 3 2" xfId="10121"/>
    <cellStyle name="强调文字颜色 4 2 7" xfId="4794"/>
    <cellStyle name="强调文字颜色 4 2 7 2" xfId="10122"/>
    <cellStyle name="强调文字颜色 4 2 7 3" xfId="10123"/>
    <cellStyle name="强调文字颜色 4 2 7 3 2" xfId="10124"/>
    <cellStyle name="强调文字颜色 4 3" xfId="2244"/>
    <cellStyle name="强调文字颜色 4 3 2" xfId="2245"/>
    <cellStyle name="强调文字颜色 4 3 2 2" xfId="471"/>
    <cellStyle name="强调文字颜色 4 3 2 2 2" xfId="451"/>
    <cellStyle name="强调文字颜色 4 3 2 2 2 2" xfId="4805"/>
    <cellStyle name="强调文字颜色 4 3 2 2 2 2 2" xfId="10125"/>
    <cellStyle name="强调文字颜色 4 3 2 2 2 2 3" xfId="10126"/>
    <cellStyle name="强调文字颜色 4 3 2 2 2 2 3 2" xfId="10127"/>
    <cellStyle name="强调文字颜色 4 3 2 2 3" xfId="4804"/>
    <cellStyle name="强调文字颜色 4 3 2 2 3 2" xfId="10128"/>
    <cellStyle name="强调文字颜色 4 3 2 2 3 3" xfId="10129"/>
    <cellStyle name="强调文字颜色 4 3 2 2 3 3 2" xfId="10130"/>
    <cellStyle name="强调文字颜色 4 3 2 3" xfId="479"/>
    <cellStyle name="强调文字颜色 4 3 2 3 2" xfId="4806"/>
    <cellStyle name="强调文字颜色 4 3 2 3 2 2" xfId="10131"/>
    <cellStyle name="强调文字颜色 4 3 2 3 2 3" xfId="10132"/>
    <cellStyle name="强调文字颜色 4 3 2 3 2 3 2" xfId="10133"/>
    <cellStyle name="强调文字颜色 4 3 2 4" xfId="4803"/>
    <cellStyle name="强调文字颜色 4 3 2 4 2" xfId="10134"/>
    <cellStyle name="强调文字颜色 4 3 2 4 3" xfId="10135"/>
    <cellStyle name="强调文字颜色 4 3 2 4 3 2" xfId="10136"/>
    <cellStyle name="强调文字颜色 4 3 3" xfId="868"/>
    <cellStyle name="强调文字颜色 4 3 3 2" xfId="34"/>
    <cellStyle name="强调文字颜色 4 3 3 2 2" xfId="4808"/>
    <cellStyle name="强调文字颜色 4 3 3 2 2 2" xfId="10137"/>
    <cellStyle name="强调文字颜色 4 3 3 2 2 3" xfId="10138"/>
    <cellStyle name="强调文字颜色 4 3 3 2 2 3 2" xfId="10139"/>
    <cellStyle name="强调文字颜色 4 3 3 3" xfId="4807"/>
    <cellStyle name="强调文字颜色 4 3 3 3 2" xfId="10140"/>
    <cellStyle name="强调文字颜色 4 3 3 3 3" xfId="10141"/>
    <cellStyle name="强调文字颜色 4 3 3 3 3 2" xfId="10142"/>
    <cellStyle name="强调文字颜色 4 3 4" xfId="870"/>
    <cellStyle name="强调文字颜色 4 3 4 2" xfId="4809"/>
    <cellStyle name="强调文字颜色 4 3 4 2 2" xfId="10143"/>
    <cellStyle name="强调文字颜色 4 3 4 2 3" xfId="10144"/>
    <cellStyle name="强调文字颜色 4 3 4 2 3 2" xfId="10145"/>
    <cellStyle name="强调文字颜色 4 3 5" xfId="2755"/>
    <cellStyle name="强调文字颜色 4 3 5 2" xfId="10146"/>
    <cellStyle name="强调文字颜色 4 3 5 3" xfId="10147"/>
    <cellStyle name="强调文字颜色 4 3 5 3 2" xfId="10148"/>
    <cellStyle name="强调文字颜色 4 4" xfId="2246"/>
    <cellStyle name="强调文字颜色 4 4 2" xfId="2247"/>
    <cellStyle name="强调文字颜色 4 4 2 2" xfId="2025"/>
    <cellStyle name="强调文字颜色 4 4 2 2 2" xfId="4812"/>
    <cellStyle name="强调文字颜色 4 4 2 2 2 2" xfId="10149"/>
    <cellStyle name="强调文字颜色 4 4 2 2 2 3" xfId="10150"/>
    <cellStyle name="强调文字颜色 4 4 2 2 2 3 2" xfId="10151"/>
    <cellStyle name="强调文字颜色 4 4 2 3" xfId="4811"/>
    <cellStyle name="强调文字颜色 4 4 2 3 2" xfId="10152"/>
    <cellStyle name="强调文字颜色 4 4 2 3 3" xfId="10153"/>
    <cellStyle name="强调文字颜色 4 4 2 3 3 2" xfId="10154"/>
    <cellStyle name="强调文字颜色 4 4 3" xfId="874"/>
    <cellStyle name="强调文字颜色 4 4 3 2" xfId="4813"/>
    <cellStyle name="强调文字颜色 4 4 3 2 2" xfId="10155"/>
    <cellStyle name="强调文字颜色 4 4 3 2 3" xfId="10156"/>
    <cellStyle name="强调文字颜色 4 4 3 2 3 2" xfId="10157"/>
    <cellStyle name="强调文字颜色 4 4 4" xfId="4810"/>
    <cellStyle name="强调文字颜色 4 4 4 2" xfId="10158"/>
    <cellStyle name="强调文字颜色 4 4 4 3" xfId="10159"/>
    <cellStyle name="强调文字颜色 4 4 4 3 2" xfId="10160"/>
    <cellStyle name="强调文字颜色 4 5" xfId="2248"/>
    <cellStyle name="强调文字颜色 4 5 2" xfId="2249"/>
    <cellStyle name="强调文字颜色 4 5 2 2" xfId="2250"/>
    <cellStyle name="强调文字颜色 4 5 2 2 2" xfId="4816"/>
    <cellStyle name="强调文字颜色 4 5 2 2 2 2" xfId="10161"/>
    <cellStyle name="强调文字颜色 4 5 2 2 2 3" xfId="10162"/>
    <cellStyle name="强调文字颜色 4 5 2 2 2 3 2" xfId="10163"/>
    <cellStyle name="强调文字颜色 4 5 2 3" xfId="4815"/>
    <cellStyle name="强调文字颜色 4 5 2 3 2" xfId="10164"/>
    <cellStyle name="强调文字颜色 4 5 2 3 3" xfId="10165"/>
    <cellStyle name="强调文字颜色 4 5 2 3 3 2" xfId="10166"/>
    <cellStyle name="强调文字颜色 4 5 3" xfId="2251"/>
    <cellStyle name="强调文字颜色 4 5 3 2" xfId="4817"/>
    <cellStyle name="强调文字颜色 4 5 3 2 2" xfId="10167"/>
    <cellStyle name="强调文字颜色 4 5 3 2 3" xfId="10168"/>
    <cellStyle name="强调文字颜色 4 5 3 2 3 2" xfId="10169"/>
    <cellStyle name="强调文字颜色 4 5 4" xfId="4814"/>
    <cellStyle name="强调文字颜色 4 5 4 2" xfId="10170"/>
    <cellStyle name="强调文字颜色 4 5 4 3" xfId="10171"/>
    <cellStyle name="强调文字颜色 4 5 4 3 2" xfId="10172"/>
    <cellStyle name="强调文字颜色 4 6" xfId="2252"/>
    <cellStyle name="强调文字颜色 4 6 2" xfId="2253"/>
    <cellStyle name="强调文字颜色 4 6 2 2" xfId="4819"/>
    <cellStyle name="强调文字颜色 4 6 2 2 2" xfId="10173"/>
    <cellStyle name="强调文字颜色 4 6 2 2 3" xfId="10174"/>
    <cellStyle name="强调文字颜色 4 6 2 2 3 2" xfId="10175"/>
    <cellStyle name="强调文字颜色 4 6 3" xfId="4818"/>
    <cellStyle name="强调文字颜色 4 6 3 2" xfId="10176"/>
    <cellStyle name="强调文字颜色 4 6 3 3" xfId="10177"/>
    <cellStyle name="强调文字颜色 4 6 3 3 2" xfId="10178"/>
    <cellStyle name="强调文字颜色 4 7" xfId="2254"/>
    <cellStyle name="强调文字颜色 4 7 2" xfId="4820"/>
    <cellStyle name="强调文字颜色 4 7 2 2" xfId="10179"/>
    <cellStyle name="强调文字颜色 4 7 2 3" xfId="10180"/>
    <cellStyle name="强调文字颜色 4 7 2 3 2" xfId="10181"/>
    <cellStyle name="强调文字颜色 4 8" xfId="2749"/>
    <cellStyle name="强调文字颜色 4 8 2" xfId="10182"/>
    <cellStyle name="强调文字颜色 4 8 3" xfId="10183"/>
    <cellStyle name="强调文字颜色 4 8 3 2" xfId="10184"/>
    <cellStyle name="强调文字颜色 4 9" xfId="4793"/>
    <cellStyle name="强调文字颜色 4 9 2" xfId="10185"/>
    <cellStyle name="强调文字颜色 4 9 3" xfId="10186"/>
    <cellStyle name="强调文字颜色 4 9 3 2" xfId="10187"/>
    <cellStyle name="强调文字颜色 5" xfId="1176"/>
    <cellStyle name="强调文字颜色 5 2" xfId="1180"/>
    <cellStyle name="强调文字颜色 5 2 2" xfId="1203"/>
    <cellStyle name="强调文字颜色 5 2 2 2" xfId="2255"/>
    <cellStyle name="强调文字颜色 5 2 2 2 2" xfId="2256"/>
    <cellStyle name="强调文字颜色 5 2 2 2 2 2" xfId="4823"/>
    <cellStyle name="强调文字颜色 5 2 2 2 2 2 2" xfId="10188"/>
    <cellStyle name="强调文字颜色 5 2 2 2 2 2 3" xfId="10189"/>
    <cellStyle name="强调文字颜色 5 2 2 2 2 2 3 2" xfId="10190"/>
    <cellStyle name="强调文字颜色 5 2 2 2 3" xfId="2759"/>
    <cellStyle name="强调文字颜色 5 2 2 2 3 2" xfId="10191"/>
    <cellStyle name="强调文字颜色 5 2 2 2 3 3" xfId="10192"/>
    <cellStyle name="强调文字颜色 5 2 2 2 3 3 2" xfId="10193"/>
    <cellStyle name="强调文字颜色 5 2 2 3" xfId="2257"/>
    <cellStyle name="强调文字颜色 5 2 2 3 2" xfId="2760"/>
    <cellStyle name="强调文字颜色 5 2 2 3 2 2" xfId="10194"/>
    <cellStyle name="强调文字颜色 5 2 2 3 2 3" xfId="10195"/>
    <cellStyle name="强调文字颜色 5 2 2 3 2 3 2" xfId="10196"/>
    <cellStyle name="强调文字颜色 5 2 2 4" xfId="2758"/>
    <cellStyle name="强调文字颜色 5 2 2 4 2" xfId="10197"/>
    <cellStyle name="强调文字颜色 5 2 2 4 3" xfId="10198"/>
    <cellStyle name="强调文字颜色 5 2 2 4 3 2" xfId="10199"/>
    <cellStyle name="强调文字颜色 5 2 3" xfId="1205"/>
    <cellStyle name="强调文字颜色 5 2 3 2" xfId="2258"/>
    <cellStyle name="强调文字颜色 5 2 3 2 2" xfId="2259"/>
    <cellStyle name="强调文字颜色 5 2 3 2 2 2" xfId="4826"/>
    <cellStyle name="强调文字颜色 5 2 3 2 2 2 2" xfId="10200"/>
    <cellStyle name="强调文字颜色 5 2 3 2 2 2 3" xfId="10201"/>
    <cellStyle name="强调文字颜色 5 2 3 2 2 2 3 2" xfId="10202"/>
    <cellStyle name="强调文字颜色 5 2 3 2 3" xfId="4825"/>
    <cellStyle name="强调文字颜色 5 2 3 2 3 2" xfId="10203"/>
    <cellStyle name="强调文字颜色 5 2 3 2 3 3" xfId="10204"/>
    <cellStyle name="强调文字颜色 5 2 3 2 3 3 2" xfId="10205"/>
    <cellStyle name="强调文字颜色 5 2 3 3" xfId="2260"/>
    <cellStyle name="强调文字颜色 5 2 3 3 2" xfId="4827"/>
    <cellStyle name="强调文字颜色 5 2 3 3 2 2" xfId="10206"/>
    <cellStyle name="强调文字颜色 5 2 3 3 2 3" xfId="10207"/>
    <cellStyle name="强调文字颜色 5 2 3 3 2 3 2" xfId="10208"/>
    <cellStyle name="强调文字颜色 5 2 3 4" xfId="2761"/>
    <cellStyle name="强调文字颜色 5 2 3 4 2" xfId="10209"/>
    <cellStyle name="强调文字颜色 5 2 3 4 3" xfId="10210"/>
    <cellStyle name="强调文字颜色 5 2 3 4 3 2" xfId="10211"/>
    <cellStyle name="强调文字颜色 5 2 3 5" xfId="4824"/>
    <cellStyle name="强调文字颜色 5 2 3 5 2" xfId="10212"/>
    <cellStyle name="强调文字颜色 5 2 3 5 3" xfId="10213"/>
    <cellStyle name="强调文字颜色 5 2 3 5 3 2" xfId="10214"/>
    <cellStyle name="强调文字颜色 5 2 4" xfId="2261"/>
    <cellStyle name="强调文字颜色 5 2 4 2" xfId="2262"/>
    <cellStyle name="强调文字颜色 5 2 4 2 2" xfId="4829"/>
    <cellStyle name="强调文字颜色 5 2 4 2 2 2" xfId="10215"/>
    <cellStyle name="强调文字颜色 5 2 4 2 2 3" xfId="10216"/>
    <cellStyle name="强调文字颜色 5 2 4 2 2 3 2" xfId="10217"/>
    <cellStyle name="强调文字颜色 5 2 4 3" xfId="4828"/>
    <cellStyle name="强调文字颜色 5 2 4 3 2" xfId="10218"/>
    <cellStyle name="强调文字颜色 5 2 4 3 3" xfId="10219"/>
    <cellStyle name="强调文字颜色 5 2 4 3 3 2" xfId="10220"/>
    <cellStyle name="强调文字颜色 5 2 5" xfId="2264"/>
    <cellStyle name="强调文字颜色 5 2 5 2" xfId="4830"/>
    <cellStyle name="强调文字颜色 5 2 5 2 2" xfId="10221"/>
    <cellStyle name="强调文字颜色 5 2 5 2 3" xfId="10222"/>
    <cellStyle name="强调文字颜色 5 2 5 2 3 2" xfId="10223"/>
    <cellStyle name="强调文字颜色 5 2 6" xfId="2757"/>
    <cellStyle name="强调文字颜色 5 2 6 2" xfId="10224"/>
    <cellStyle name="强调文字颜色 5 2 6 3" xfId="10225"/>
    <cellStyle name="强调文字颜色 5 2 6 3 2" xfId="10226"/>
    <cellStyle name="强调文字颜色 5 2 7" xfId="4822"/>
    <cellStyle name="强调文字颜色 5 2 7 2" xfId="10227"/>
    <cellStyle name="强调文字颜色 5 2 7 3" xfId="10228"/>
    <cellStyle name="强调文字颜色 5 2 7 3 2" xfId="10229"/>
    <cellStyle name="强调文字颜色 5 3" xfId="2265"/>
    <cellStyle name="强调文字颜色 5 3 2" xfId="2266"/>
    <cellStyle name="强调文字颜色 5 3 2 2" xfId="2267"/>
    <cellStyle name="强调文字颜色 5 3 2 2 2" xfId="2268"/>
    <cellStyle name="强调文字颜色 5 3 2 2 2 2" xfId="4833"/>
    <cellStyle name="强调文字颜色 5 3 2 2 2 2 2" xfId="10230"/>
    <cellStyle name="强调文字颜色 5 3 2 2 2 2 3" xfId="10231"/>
    <cellStyle name="强调文字颜色 5 3 2 2 2 2 3 2" xfId="10232"/>
    <cellStyle name="强调文字颜色 5 3 2 2 3" xfId="4832"/>
    <cellStyle name="强调文字颜色 5 3 2 2 3 2" xfId="10233"/>
    <cellStyle name="强调文字颜色 5 3 2 2 3 3" xfId="10234"/>
    <cellStyle name="强调文字颜色 5 3 2 2 3 3 2" xfId="10235"/>
    <cellStyle name="强调文字颜色 5 3 2 3" xfId="2269"/>
    <cellStyle name="强调文字颜色 5 3 2 3 2" xfId="4834"/>
    <cellStyle name="强调文字颜色 5 3 2 3 2 2" xfId="10236"/>
    <cellStyle name="强调文字颜色 5 3 2 3 2 3" xfId="10237"/>
    <cellStyle name="强调文字颜色 5 3 2 3 2 3 2" xfId="10238"/>
    <cellStyle name="强调文字颜色 5 3 2 4" xfId="4831"/>
    <cellStyle name="强调文字颜色 5 3 2 4 2" xfId="10239"/>
    <cellStyle name="强调文字颜色 5 3 2 4 3" xfId="10240"/>
    <cellStyle name="强调文字颜色 5 3 2 4 3 2" xfId="10241"/>
    <cellStyle name="强调文字颜色 5 3 3" xfId="879"/>
    <cellStyle name="强调文字颜色 5 3 3 2" xfId="2270"/>
    <cellStyle name="强调文字颜色 5 3 3 2 2" xfId="4836"/>
    <cellStyle name="强调文字颜色 5 3 3 2 2 2" xfId="10242"/>
    <cellStyle name="强调文字颜色 5 3 3 2 2 3" xfId="10243"/>
    <cellStyle name="强调文字颜色 5 3 3 2 2 3 2" xfId="10244"/>
    <cellStyle name="强调文字颜色 5 3 3 3" xfId="4835"/>
    <cellStyle name="强调文字颜色 5 3 3 3 2" xfId="10245"/>
    <cellStyle name="强调文字颜色 5 3 3 3 3" xfId="10246"/>
    <cellStyle name="强调文字颜色 5 3 3 3 3 2" xfId="10247"/>
    <cellStyle name="强调文字颜色 5 3 4" xfId="2271"/>
    <cellStyle name="强调文字颜色 5 3 4 2" xfId="4837"/>
    <cellStyle name="强调文字颜色 5 3 4 2 2" xfId="10248"/>
    <cellStyle name="强调文字颜色 5 3 4 2 3" xfId="10249"/>
    <cellStyle name="强调文字颜色 5 3 4 2 3 2" xfId="10250"/>
    <cellStyle name="强调文字颜色 5 3 5" xfId="2762"/>
    <cellStyle name="强调文字颜色 5 3 5 2" xfId="10251"/>
    <cellStyle name="强调文字颜色 5 3 5 3" xfId="10252"/>
    <cellStyle name="强调文字颜色 5 3 5 3 2" xfId="10253"/>
    <cellStyle name="强调文字颜色 5 4" xfId="2272"/>
    <cellStyle name="强调文字颜色 5 4 2" xfId="1916"/>
    <cellStyle name="强调文字颜色 5 4 2 2" xfId="2273"/>
    <cellStyle name="强调文字颜色 5 4 2 2 2" xfId="4840"/>
    <cellStyle name="强调文字颜色 5 4 2 2 2 2" xfId="10254"/>
    <cellStyle name="强调文字颜色 5 4 2 2 2 3" xfId="10255"/>
    <cellStyle name="强调文字颜色 5 4 2 2 2 3 2" xfId="10256"/>
    <cellStyle name="强调文字颜色 5 4 2 3" xfId="4839"/>
    <cellStyle name="强调文字颜色 5 4 2 3 2" xfId="10257"/>
    <cellStyle name="强调文字颜色 5 4 2 3 3" xfId="10258"/>
    <cellStyle name="强调文字颜色 5 4 2 3 3 2" xfId="10259"/>
    <cellStyle name="强调文字颜色 5 4 3" xfId="1918"/>
    <cellStyle name="强调文字颜色 5 4 3 2" xfId="4841"/>
    <cellStyle name="强调文字颜色 5 4 3 2 2" xfId="10260"/>
    <cellStyle name="强调文字颜色 5 4 3 2 3" xfId="10261"/>
    <cellStyle name="强调文字颜色 5 4 3 2 3 2" xfId="10262"/>
    <cellStyle name="强调文字颜色 5 4 4" xfId="4838"/>
    <cellStyle name="强调文字颜色 5 4 4 2" xfId="10263"/>
    <cellStyle name="强调文字颜色 5 4 4 3" xfId="10264"/>
    <cellStyle name="强调文字颜色 5 4 4 3 2" xfId="10265"/>
    <cellStyle name="强调文字颜色 5 5" xfId="2274"/>
    <cellStyle name="强调文字颜色 5 5 2" xfId="2275"/>
    <cellStyle name="强调文字颜色 5 5 2 2" xfId="2277"/>
    <cellStyle name="强调文字颜色 5 5 2 2 2" xfId="4844"/>
    <cellStyle name="强调文字颜色 5 5 2 2 2 2" xfId="10266"/>
    <cellStyle name="强调文字颜色 5 5 2 2 2 3" xfId="10267"/>
    <cellStyle name="强调文字颜色 5 5 2 2 2 3 2" xfId="10268"/>
    <cellStyle name="强调文字颜色 5 5 2 3" xfId="4843"/>
    <cellStyle name="强调文字颜色 5 5 2 3 2" xfId="10269"/>
    <cellStyle name="强调文字颜色 5 5 2 3 3" xfId="10270"/>
    <cellStyle name="强调文字颜色 5 5 2 3 3 2" xfId="10271"/>
    <cellStyle name="强调文字颜色 5 5 3" xfId="2278"/>
    <cellStyle name="强调文字颜色 5 5 3 2" xfId="4845"/>
    <cellStyle name="强调文字颜色 5 5 3 2 2" xfId="10272"/>
    <cellStyle name="强调文字颜色 5 5 3 2 3" xfId="10273"/>
    <cellStyle name="强调文字颜色 5 5 3 2 3 2" xfId="10274"/>
    <cellStyle name="强调文字颜色 5 5 4" xfId="4842"/>
    <cellStyle name="强调文字颜色 5 5 4 2" xfId="10275"/>
    <cellStyle name="强调文字颜色 5 5 4 3" xfId="10276"/>
    <cellStyle name="强调文字颜色 5 5 4 3 2" xfId="10277"/>
    <cellStyle name="强调文字颜色 5 6" xfId="2279"/>
    <cellStyle name="强调文字颜色 5 6 2" xfId="2280"/>
    <cellStyle name="强调文字颜色 5 6 2 2" xfId="4847"/>
    <cellStyle name="强调文字颜色 5 6 2 2 2" xfId="10278"/>
    <cellStyle name="强调文字颜色 5 6 2 2 3" xfId="10279"/>
    <cellStyle name="强调文字颜色 5 6 2 2 3 2" xfId="10280"/>
    <cellStyle name="强调文字颜色 5 6 3" xfId="4846"/>
    <cellStyle name="强调文字颜色 5 6 3 2" xfId="10281"/>
    <cellStyle name="强调文字颜色 5 6 3 3" xfId="10282"/>
    <cellStyle name="强调文字颜色 5 6 3 3 2" xfId="10283"/>
    <cellStyle name="强调文字颜色 5 7" xfId="2281"/>
    <cellStyle name="强调文字颜色 5 7 2" xfId="4848"/>
    <cellStyle name="强调文字颜色 5 7 2 2" xfId="10284"/>
    <cellStyle name="强调文字颜色 5 7 2 3" xfId="10285"/>
    <cellStyle name="强调文字颜色 5 7 2 3 2" xfId="10286"/>
    <cellStyle name="强调文字颜色 5 8" xfId="2756"/>
    <cellStyle name="强调文字颜色 5 8 2" xfId="10287"/>
    <cellStyle name="强调文字颜色 5 8 3" xfId="10288"/>
    <cellStyle name="强调文字颜色 5 8 3 2" xfId="10289"/>
    <cellStyle name="强调文字颜色 5 9" xfId="4821"/>
    <cellStyle name="强调文字颜色 5 9 2" xfId="10290"/>
    <cellStyle name="强调文字颜色 5 9 3" xfId="10291"/>
    <cellStyle name="强调文字颜色 5 9 3 2" xfId="10292"/>
    <cellStyle name="强调文字颜色 6" xfId="1182"/>
    <cellStyle name="强调文字颜色 6 2" xfId="2282"/>
    <cellStyle name="强调文字颜色 6 2 2" xfId="2283"/>
    <cellStyle name="强调文字颜色 6 2 2 2" xfId="2284"/>
    <cellStyle name="强调文字颜色 6 2 2 2 2" xfId="2285"/>
    <cellStyle name="强调文字颜色 6 2 2 2 2 2" xfId="4851"/>
    <cellStyle name="强调文字颜色 6 2 2 2 2 2 2" xfId="10293"/>
    <cellStyle name="强调文字颜色 6 2 2 2 2 2 3" xfId="10294"/>
    <cellStyle name="强调文字颜色 6 2 2 2 2 2 3 2" xfId="10295"/>
    <cellStyle name="强调文字颜色 6 2 2 2 3" xfId="2766"/>
    <cellStyle name="强调文字颜色 6 2 2 2 3 2" xfId="10296"/>
    <cellStyle name="强调文字颜色 6 2 2 2 3 3" xfId="10297"/>
    <cellStyle name="强调文字颜色 6 2 2 2 3 3 2" xfId="10298"/>
    <cellStyle name="强调文字颜色 6 2 2 3" xfId="2286"/>
    <cellStyle name="强调文字颜色 6 2 2 3 2" xfId="2767"/>
    <cellStyle name="强调文字颜色 6 2 2 3 2 2" xfId="10299"/>
    <cellStyle name="强调文字颜色 6 2 2 3 2 3" xfId="10300"/>
    <cellStyle name="强调文字颜色 6 2 2 3 2 3 2" xfId="10301"/>
    <cellStyle name="强调文字颜色 6 2 2 4" xfId="2765"/>
    <cellStyle name="强调文字颜色 6 2 2 4 2" xfId="10302"/>
    <cellStyle name="强调文字颜色 6 2 2 4 3" xfId="10303"/>
    <cellStyle name="强调文字颜色 6 2 2 4 3 2" xfId="10304"/>
    <cellStyle name="强调文字颜色 6 2 3" xfId="2287"/>
    <cellStyle name="强调文字颜色 6 2 3 2" xfId="2288"/>
    <cellStyle name="强调文字颜色 6 2 3 2 2" xfId="2289"/>
    <cellStyle name="强调文字颜色 6 2 3 2 2 2" xfId="4854"/>
    <cellStyle name="强调文字颜色 6 2 3 2 2 2 2" xfId="10305"/>
    <cellStyle name="强调文字颜色 6 2 3 2 2 2 3" xfId="10306"/>
    <cellStyle name="强调文字颜色 6 2 3 2 2 2 3 2" xfId="10307"/>
    <cellStyle name="强调文字颜色 6 2 3 2 3" xfId="4853"/>
    <cellStyle name="强调文字颜色 6 2 3 2 3 2" xfId="10308"/>
    <cellStyle name="强调文字颜色 6 2 3 2 3 3" xfId="10309"/>
    <cellStyle name="强调文字颜色 6 2 3 2 3 3 2" xfId="10310"/>
    <cellStyle name="强调文字颜色 6 2 3 3" xfId="2290"/>
    <cellStyle name="强调文字颜色 6 2 3 3 2" xfId="4855"/>
    <cellStyle name="强调文字颜色 6 2 3 3 2 2" xfId="10311"/>
    <cellStyle name="强调文字颜色 6 2 3 3 2 3" xfId="10312"/>
    <cellStyle name="强调文字颜色 6 2 3 3 2 3 2" xfId="10313"/>
    <cellStyle name="强调文字颜色 6 2 3 4" xfId="2768"/>
    <cellStyle name="强调文字颜色 6 2 3 4 2" xfId="10314"/>
    <cellStyle name="强调文字颜色 6 2 3 4 3" xfId="10315"/>
    <cellStyle name="强调文字颜色 6 2 3 4 3 2" xfId="10316"/>
    <cellStyle name="强调文字颜色 6 2 3 5" xfId="4852"/>
    <cellStyle name="强调文字颜色 6 2 3 5 2" xfId="10317"/>
    <cellStyle name="强调文字颜色 6 2 3 5 3" xfId="10318"/>
    <cellStyle name="强调文字颜色 6 2 3 5 3 2" xfId="10319"/>
    <cellStyle name="强调文字颜色 6 2 4" xfId="2291"/>
    <cellStyle name="强调文字颜色 6 2 4 2" xfId="2292"/>
    <cellStyle name="强调文字颜色 6 2 4 2 2" xfId="4857"/>
    <cellStyle name="强调文字颜色 6 2 4 2 2 2" xfId="10320"/>
    <cellStyle name="强调文字颜色 6 2 4 2 2 3" xfId="10321"/>
    <cellStyle name="强调文字颜色 6 2 4 2 2 3 2" xfId="10322"/>
    <cellStyle name="强调文字颜色 6 2 4 3" xfId="4856"/>
    <cellStyle name="强调文字颜色 6 2 4 3 2" xfId="10323"/>
    <cellStyle name="强调文字颜色 6 2 4 3 3" xfId="10324"/>
    <cellStyle name="强调文字颜色 6 2 4 3 3 2" xfId="10325"/>
    <cellStyle name="强调文字颜色 6 2 5" xfId="2293"/>
    <cellStyle name="强调文字颜色 6 2 5 2" xfId="4858"/>
    <cellStyle name="强调文字颜色 6 2 5 2 2" xfId="10326"/>
    <cellStyle name="强调文字颜色 6 2 5 2 3" xfId="10327"/>
    <cellStyle name="强调文字颜色 6 2 5 2 3 2" xfId="10328"/>
    <cellStyle name="强调文字颜色 6 2 6" xfId="2764"/>
    <cellStyle name="强调文字颜色 6 2 6 2" xfId="10329"/>
    <cellStyle name="强调文字颜色 6 2 6 3" xfId="10330"/>
    <cellStyle name="强调文字颜色 6 2 6 3 2" xfId="10331"/>
    <cellStyle name="强调文字颜色 6 2 7" xfId="4850"/>
    <cellStyle name="强调文字颜色 6 2 7 2" xfId="10332"/>
    <cellStyle name="强调文字颜色 6 2 7 3" xfId="10333"/>
    <cellStyle name="强调文字颜色 6 2 7 3 2" xfId="10334"/>
    <cellStyle name="强调文字颜色 6 3" xfId="2294"/>
    <cellStyle name="强调文字颜色 6 3 2" xfId="2295"/>
    <cellStyle name="强调文字颜色 6 3 2 2" xfId="2296"/>
    <cellStyle name="强调文字颜色 6 3 2 2 2" xfId="2297"/>
    <cellStyle name="强调文字颜色 6 3 2 2 2 2" xfId="4861"/>
    <cellStyle name="强调文字颜色 6 3 2 2 2 2 2" xfId="10335"/>
    <cellStyle name="强调文字颜色 6 3 2 2 2 2 3" xfId="10336"/>
    <cellStyle name="强调文字颜色 6 3 2 2 2 2 3 2" xfId="10337"/>
    <cellStyle name="强调文字颜色 6 3 2 2 3" xfId="4860"/>
    <cellStyle name="强调文字颜色 6 3 2 2 3 2" xfId="10338"/>
    <cellStyle name="强调文字颜色 6 3 2 2 3 3" xfId="10339"/>
    <cellStyle name="强调文字颜色 6 3 2 2 3 3 2" xfId="10340"/>
    <cellStyle name="强调文字颜色 6 3 2 3" xfId="2298"/>
    <cellStyle name="强调文字颜色 6 3 2 3 2" xfId="4862"/>
    <cellStyle name="强调文字颜色 6 3 2 3 2 2" xfId="10341"/>
    <cellStyle name="强调文字颜色 6 3 2 3 2 3" xfId="10342"/>
    <cellStyle name="强调文字颜色 6 3 2 3 2 3 2" xfId="10343"/>
    <cellStyle name="强调文字颜色 6 3 2 4" xfId="4859"/>
    <cellStyle name="强调文字颜色 6 3 2 4 2" xfId="10344"/>
    <cellStyle name="强调文字颜色 6 3 2 4 3" xfId="10345"/>
    <cellStyle name="强调文字颜色 6 3 2 4 3 2" xfId="10346"/>
    <cellStyle name="强调文字颜色 6 3 3" xfId="884"/>
    <cellStyle name="强调文字颜色 6 3 3 2" xfId="2299"/>
    <cellStyle name="强调文字颜色 6 3 3 2 2" xfId="4864"/>
    <cellStyle name="强调文字颜色 6 3 3 2 2 2" xfId="10347"/>
    <cellStyle name="强调文字颜色 6 3 3 2 2 3" xfId="10348"/>
    <cellStyle name="强调文字颜色 6 3 3 2 2 3 2" xfId="10349"/>
    <cellStyle name="强调文字颜色 6 3 3 3" xfId="4863"/>
    <cellStyle name="强调文字颜色 6 3 3 3 2" xfId="10350"/>
    <cellStyle name="强调文字颜色 6 3 3 3 3" xfId="10351"/>
    <cellStyle name="强调文字颜色 6 3 3 3 3 2" xfId="10352"/>
    <cellStyle name="强调文字颜色 6 3 4" xfId="2300"/>
    <cellStyle name="强调文字颜色 6 3 4 2" xfId="4865"/>
    <cellStyle name="强调文字颜色 6 3 4 2 2" xfId="10353"/>
    <cellStyle name="强调文字颜色 6 3 4 2 3" xfId="10354"/>
    <cellStyle name="强调文字颜色 6 3 4 2 3 2" xfId="10355"/>
    <cellStyle name="强调文字颜色 6 3 5" xfId="2769"/>
    <cellStyle name="强调文字颜色 6 3 5 2" xfId="10356"/>
    <cellStyle name="强调文字颜色 6 3 5 3" xfId="10357"/>
    <cellStyle name="强调文字颜色 6 3 5 3 2" xfId="10358"/>
    <cellStyle name="强调文字颜色 6 4" xfId="2301"/>
    <cellStyle name="强调文字颜色 6 4 2" xfId="2302"/>
    <cellStyle name="强调文字颜色 6 4 2 2" xfId="2303"/>
    <cellStyle name="强调文字颜色 6 4 2 2 2" xfId="4868"/>
    <cellStyle name="强调文字颜色 6 4 2 2 2 2" xfId="10359"/>
    <cellStyle name="强调文字颜色 6 4 2 2 2 3" xfId="10360"/>
    <cellStyle name="强调文字颜色 6 4 2 2 2 3 2" xfId="10361"/>
    <cellStyle name="强调文字颜色 6 4 2 3" xfId="4867"/>
    <cellStyle name="强调文字颜色 6 4 2 3 2" xfId="10362"/>
    <cellStyle name="强调文字颜色 6 4 2 3 3" xfId="10363"/>
    <cellStyle name="强调文字颜色 6 4 2 3 3 2" xfId="10364"/>
    <cellStyle name="强调文字颜色 6 4 3" xfId="2304"/>
    <cellStyle name="强调文字颜色 6 4 3 2" xfId="4869"/>
    <cellStyle name="强调文字颜色 6 4 3 2 2" xfId="10365"/>
    <cellStyle name="强调文字颜色 6 4 3 2 3" xfId="10366"/>
    <cellStyle name="强调文字颜色 6 4 3 2 3 2" xfId="10367"/>
    <cellStyle name="强调文字颜色 6 4 4" xfId="4866"/>
    <cellStyle name="强调文字颜色 6 4 4 2" xfId="10368"/>
    <cellStyle name="强调文字颜色 6 4 4 3" xfId="10369"/>
    <cellStyle name="强调文字颜色 6 4 4 3 2" xfId="10370"/>
    <cellStyle name="强调文字颜色 6 5" xfId="2305"/>
    <cellStyle name="强调文字颜色 6 5 2" xfId="2306"/>
    <cellStyle name="强调文字颜色 6 5 2 2" xfId="1487"/>
    <cellStyle name="强调文字颜色 6 5 2 2 2" xfId="4872"/>
    <cellStyle name="强调文字颜色 6 5 2 2 2 2" xfId="10371"/>
    <cellStyle name="强调文字颜色 6 5 2 2 2 3" xfId="10372"/>
    <cellStyle name="强调文字颜色 6 5 2 2 2 3 2" xfId="10373"/>
    <cellStyle name="强调文字颜色 6 5 2 3" xfId="4871"/>
    <cellStyle name="强调文字颜色 6 5 2 3 2" xfId="10374"/>
    <cellStyle name="强调文字颜色 6 5 2 3 3" xfId="10375"/>
    <cellStyle name="强调文字颜色 6 5 2 3 3 2" xfId="10376"/>
    <cellStyle name="强调文字颜色 6 5 3" xfId="2307"/>
    <cellStyle name="强调文字颜色 6 5 3 2" xfId="4873"/>
    <cellStyle name="强调文字颜色 6 5 3 2 2" xfId="10377"/>
    <cellStyle name="强调文字颜色 6 5 3 2 3" xfId="10378"/>
    <cellStyle name="强调文字颜色 6 5 3 2 3 2" xfId="10379"/>
    <cellStyle name="强调文字颜色 6 5 4" xfId="4870"/>
    <cellStyle name="强调文字颜色 6 5 4 2" xfId="10380"/>
    <cellStyle name="强调文字颜色 6 5 4 3" xfId="10381"/>
    <cellStyle name="强调文字颜色 6 5 4 3 2" xfId="10382"/>
    <cellStyle name="强调文字颜色 6 6" xfId="2308"/>
    <cellStyle name="强调文字颜色 6 6 2" xfId="2309"/>
    <cellStyle name="强调文字颜色 6 6 2 2" xfId="4875"/>
    <cellStyle name="强调文字颜色 6 6 2 2 2" xfId="10383"/>
    <cellStyle name="强调文字颜色 6 6 2 2 3" xfId="10384"/>
    <cellStyle name="强调文字颜色 6 6 2 2 3 2" xfId="10385"/>
    <cellStyle name="强调文字颜色 6 6 3" xfId="4874"/>
    <cellStyle name="强调文字颜色 6 6 3 2" xfId="10386"/>
    <cellStyle name="强调文字颜色 6 6 3 3" xfId="10387"/>
    <cellStyle name="强调文字颜色 6 6 3 3 2" xfId="10388"/>
    <cellStyle name="强调文字颜色 6 7" xfId="2310"/>
    <cellStyle name="强调文字颜色 6 7 2" xfId="4876"/>
    <cellStyle name="强调文字颜色 6 7 2 2" xfId="10389"/>
    <cellStyle name="强调文字颜色 6 7 2 3" xfId="10390"/>
    <cellStyle name="强调文字颜色 6 7 2 3 2" xfId="10391"/>
    <cellStyle name="强调文字颜色 6 8" xfId="2763"/>
    <cellStyle name="强调文字颜色 6 8 2" xfId="10392"/>
    <cellStyle name="强调文字颜色 6 8 3" xfId="10393"/>
    <cellStyle name="强调文字颜色 6 8 3 2" xfId="10394"/>
    <cellStyle name="强调文字颜色 6 9" xfId="4849"/>
    <cellStyle name="强调文字颜色 6 9 2" xfId="10395"/>
    <cellStyle name="强调文字颜色 6 9 3" xfId="10396"/>
    <cellStyle name="强调文字颜色 6 9 3 2" xfId="10397"/>
    <cellStyle name="适中" xfId="2311"/>
    <cellStyle name="适中 2" xfId="1114"/>
    <cellStyle name="适中 2 2" xfId="2312"/>
    <cellStyle name="适中 2 2 2" xfId="1544"/>
    <cellStyle name="适中 2 2 2 2" xfId="2313"/>
    <cellStyle name="适中 2 2 2 2 2" xfId="4877"/>
    <cellStyle name="适中 2 2 2 2 2 2" xfId="10398"/>
    <cellStyle name="适中 2 2 2 2 2 3" xfId="10399"/>
    <cellStyle name="适中 2 2 2 2 2 3 2" xfId="10400"/>
    <cellStyle name="适中 2 2 2 3" xfId="2773"/>
    <cellStyle name="适中 2 2 2 3 2" xfId="10401"/>
    <cellStyle name="适中 2 2 2 3 3" xfId="10402"/>
    <cellStyle name="适中 2 2 2 3 3 2" xfId="10403"/>
    <cellStyle name="适中 2 2 3" xfId="2314"/>
    <cellStyle name="适中 2 2 3 2" xfId="2774"/>
    <cellStyle name="适中 2 2 3 2 2" xfId="10404"/>
    <cellStyle name="适中 2 2 3 2 3" xfId="10405"/>
    <cellStyle name="适中 2 2 3 2 3 2" xfId="10406"/>
    <cellStyle name="适中 2 2 4" xfId="2772"/>
    <cellStyle name="适中 2 2 4 2" xfId="10407"/>
    <cellStyle name="适中 2 2 4 3" xfId="10408"/>
    <cellStyle name="适中 2 2 4 3 2" xfId="10409"/>
    <cellStyle name="适中 2 3" xfId="2315"/>
    <cellStyle name="适中 2 3 2" xfId="2316"/>
    <cellStyle name="适中 2 3 2 2" xfId="4878"/>
    <cellStyle name="适中 2 3 2 2 2" xfId="10410"/>
    <cellStyle name="适中 2 3 2 2 3" xfId="10411"/>
    <cellStyle name="适中 2 3 2 2 3 2" xfId="10412"/>
    <cellStyle name="适中 2 3 3" xfId="2775"/>
    <cellStyle name="适中 2 3 3 2" xfId="10413"/>
    <cellStyle name="适中 2 3 3 3" xfId="10414"/>
    <cellStyle name="适中 2 3 3 3 2" xfId="10415"/>
    <cellStyle name="适中 2 4" xfId="674"/>
    <cellStyle name="适中 2 4 2" xfId="4879"/>
    <cellStyle name="适中 2 4 2 2" xfId="10416"/>
    <cellStyle name="适中 2 4 2 3" xfId="10417"/>
    <cellStyle name="适中 2 4 2 3 2" xfId="10418"/>
    <cellStyle name="适中 2 5" xfId="2771"/>
    <cellStyle name="适中 2 5 2" xfId="10419"/>
    <cellStyle name="适中 2 5 3" xfId="10420"/>
    <cellStyle name="适中 2 5 3 2" xfId="10421"/>
    <cellStyle name="适中 3" xfId="2317"/>
    <cellStyle name="适中 3 2" xfId="2318"/>
    <cellStyle name="适中 3 2 2" xfId="2319"/>
    <cellStyle name="适中 3 2 2 2" xfId="2320"/>
    <cellStyle name="适中 3 2 2 2 2" xfId="4882"/>
    <cellStyle name="适中 3 2 2 2 2 2" xfId="10422"/>
    <cellStyle name="适中 3 2 2 2 2 3" xfId="10423"/>
    <cellStyle name="适中 3 2 2 2 2 3 2" xfId="10424"/>
    <cellStyle name="适中 3 2 2 3" xfId="4881"/>
    <cellStyle name="适中 3 2 2 3 2" xfId="10425"/>
    <cellStyle name="适中 3 2 2 3 3" xfId="10426"/>
    <cellStyle name="适中 3 2 2 3 3 2" xfId="10427"/>
    <cellStyle name="适中 3 2 3" xfId="2321"/>
    <cellStyle name="适中 3 2 3 2" xfId="4883"/>
    <cellStyle name="适中 3 2 3 2 2" xfId="10428"/>
    <cellStyle name="适中 3 2 3 2 3" xfId="10429"/>
    <cellStyle name="适中 3 2 3 2 3 2" xfId="10430"/>
    <cellStyle name="适中 3 2 4" xfId="4880"/>
    <cellStyle name="适中 3 2 4 2" xfId="10431"/>
    <cellStyle name="适中 3 2 4 3" xfId="10432"/>
    <cellStyle name="适中 3 2 4 3 2" xfId="10433"/>
    <cellStyle name="适中 3 3" xfId="2322"/>
    <cellStyle name="适中 3 3 2" xfId="2323"/>
    <cellStyle name="适中 3 3 2 2" xfId="4885"/>
    <cellStyle name="适中 3 3 2 2 2" xfId="10434"/>
    <cellStyle name="适中 3 3 2 2 3" xfId="10435"/>
    <cellStyle name="适中 3 3 2 2 3 2" xfId="10436"/>
    <cellStyle name="适中 3 3 3" xfId="4884"/>
    <cellStyle name="适中 3 3 3 2" xfId="10437"/>
    <cellStyle name="适中 3 3 3 3" xfId="10438"/>
    <cellStyle name="适中 3 3 3 3 2" xfId="10439"/>
    <cellStyle name="适中 3 4" xfId="678"/>
    <cellStyle name="适中 3 4 2" xfId="4886"/>
    <cellStyle name="适中 3 4 2 2" xfId="10440"/>
    <cellStyle name="适中 3 4 2 3" xfId="10441"/>
    <cellStyle name="适中 3 4 2 3 2" xfId="10442"/>
    <cellStyle name="适中 3 5" xfId="2776"/>
    <cellStyle name="适中 3 5 2" xfId="10443"/>
    <cellStyle name="适中 3 5 3" xfId="10444"/>
    <cellStyle name="适中 3 5 3 2" xfId="10445"/>
    <cellStyle name="适中 4" xfId="2324"/>
    <cellStyle name="适中 4 2" xfId="2325"/>
    <cellStyle name="适中 4 2 2" xfId="2326"/>
    <cellStyle name="适中 4 2 2 2" xfId="4889"/>
    <cellStyle name="适中 4 2 2 2 2" xfId="10446"/>
    <cellStyle name="适中 4 2 2 2 3" xfId="10447"/>
    <cellStyle name="适中 4 2 2 2 3 2" xfId="10448"/>
    <cellStyle name="适中 4 2 3" xfId="4888"/>
    <cellStyle name="适中 4 2 3 2" xfId="10449"/>
    <cellStyle name="适中 4 2 3 3" xfId="10450"/>
    <cellStyle name="适中 4 2 3 3 2" xfId="10451"/>
    <cellStyle name="适中 4 3" xfId="2327"/>
    <cellStyle name="适中 4 3 2" xfId="4890"/>
    <cellStyle name="适中 4 3 2 2" xfId="10452"/>
    <cellStyle name="适中 4 3 2 3" xfId="10453"/>
    <cellStyle name="适中 4 3 2 3 2" xfId="10454"/>
    <cellStyle name="适中 4 4" xfId="4887"/>
    <cellStyle name="适中 4 4 2" xfId="10455"/>
    <cellStyle name="适中 4 4 3" xfId="10456"/>
    <cellStyle name="适中 4 4 3 2" xfId="10457"/>
    <cellStyle name="适中 5" xfId="2328"/>
    <cellStyle name="适中 5 2" xfId="2329"/>
    <cellStyle name="适中 5 2 2" xfId="2330"/>
    <cellStyle name="适中 5 2 2 2" xfId="4893"/>
    <cellStyle name="适中 5 2 2 2 2" xfId="10458"/>
    <cellStyle name="适中 5 2 2 2 3" xfId="10459"/>
    <cellStyle name="适中 5 2 2 2 3 2" xfId="10460"/>
    <cellStyle name="适中 5 2 3" xfId="4892"/>
    <cellStyle name="适中 5 2 3 2" xfId="10461"/>
    <cellStyle name="适中 5 2 3 3" xfId="10462"/>
    <cellStyle name="适中 5 2 3 3 2" xfId="10463"/>
    <cellStyle name="适中 5 3" xfId="2331"/>
    <cellStyle name="适中 5 3 2" xfId="4894"/>
    <cellStyle name="适中 5 3 2 2" xfId="10464"/>
    <cellStyle name="适中 5 3 2 3" xfId="10465"/>
    <cellStyle name="适中 5 3 2 3 2" xfId="10466"/>
    <cellStyle name="适中 5 4" xfId="4891"/>
    <cellStyle name="适中 5 4 2" xfId="10467"/>
    <cellStyle name="适中 5 4 3" xfId="10468"/>
    <cellStyle name="适中 5 4 3 2" xfId="10469"/>
    <cellStyle name="适中 6" xfId="2332"/>
    <cellStyle name="适中 6 2" xfId="2333"/>
    <cellStyle name="适中 6 2 2" xfId="4896"/>
    <cellStyle name="适中 6 2 2 2" xfId="10470"/>
    <cellStyle name="适中 6 2 2 3" xfId="10471"/>
    <cellStyle name="适中 6 2 2 3 2" xfId="10472"/>
    <cellStyle name="适中 6 3" xfId="4895"/>
    <cellStyle name="适中 6 3 2" xfId="10473"/>
    <cellStyle name="适中 6 3 3" xfId="10474"/>
    <cellStyle name="适中 6 3 3 2" xfId="10475"/>
    <cellStyle name="适中 7" xfId="2334"/>
    <cellStyle name="适中 7 2" xfId="4897"/>
    <cellStyle name="适中 7 2 2" xfId="10476"/>
    <cellStyle name="适中 7 2 3" xfId="10477"/>
    <cellStyle name="适中 7 2 3 2" xfId="10478"/>
    <cellStyle name="适中 8" xfId="2770"/>
    <cellStyle name="适中 8 2" xfId="10479"/>
    <cellStyle name="适中 8 3" xfId="10480"/>
    <cellStyle name="适中 8 3 2" xfId="10481"/>
    <cellStyle name="输出" xfId="85"/>
    <cellStyle name="输出 10" xfId="10482"/>
    <cellStyle name="输出 2" xfId="563"/>
    <cellStyle name="输出 2 10" xfId="10483"/>
    <cellStyle name="输出 2 10 2" xfId="10484"/>
    <cellStyle name="输出 2 11" xfId="10485"/>
    <cellStyle name="输出 2 11 2" xfId="10486"/>
    <cellStyle name="输出 2 12" xfId="10487"/>
    <cellStyle name="输出 2 2" xfId="2335"/>
    <cellStyle name="输出 2 2 2" xfId="1649"/>
    <cellStyle name="输出 2 2 2 2" xfId="1651"/>
    <cellStyle name="输出 2 2 2 2 2" xfId="4900"/>
    <cellStyle name="输出 2 2 2 2 2 2" xfId="10488"/>
    <cellStyle name="输出 2 2 2 2 2 2 2" xfId="10489"/>
    <cellStyle name="输出 2 2 2 2 2 3" xfId="10490"/>
    <cellStyle name="输出 2 2 2 2 2 3 2" xfId="10491"/>
    <cellStyle name="输出 2 2 2 2 2 4" xfId="10492"/>
    <cellStyle name="输出 2 2 2 2 2 4 2" xfId="10493"/>
    <cellStyle name="输出 2 2 2 2 2 5" xfId="10494"/>
    <cellStyle name="输出 2 2 2 2 2 5 2" xfId="10495"/>
    <cellStyle name="输出 2 2 2 2 2 6" xfId="10496"/>
    <cellStyle name="输出 2 2 2 2 2 6 2" xfId="10497"/>
    <cellStyle name="输出 2 2 2 2 2 7" xfId="10498"/>
    <cellStyle name="输出 2 2 2 2 2 7 2" xfId="10499"/>
    <cellStyle name="输出 2 2 2 2 2 7 2 2" xfId="10500"/>
    <cellStyle name="输出 2 2 2 2 2 7 2 2 2" xfId="10501"/>
    <cellStyle name="输出 2 2 2 2 2 7 3" xfId="10502"/>
    <cellStyle name="输出 2 2 2 2 2 7 3 2" xfId="10503"/>
    <cellStyle name="输出 2 2 2 2 2 8" xfId="10504"/>
    <cellStyle name="输出 2 2 2 2 2 8 2" xfId="10505"/>
    <cellStyle name="输出 2 2 2 2 2 8 2 2" xfId="10506"/>
    <cellStyle name="输出 2 2 2 2 2 9" xfId="10507"/>
    <cellStyle name="输出 2 2 2 2 2 9 2" xfId="10508"/>
    <cellStyle name="输出 2 2 2 2 3" xfId="10509"/>
    <cellStyle name="输出 2 2 2 2 3 2" xfId="10510"/>
    <cellStyle name="输出 2 2 2 2 4" xfId="10511"/>
    <cellStyle name="输出 2 2 2 2 4 2" xfId="10512"/>
    <cellStyle name="输出 2 2 2 2 5" xfId="10513"/>
    <cellStyle name="输出 2 2 2 2 5 2" xfId="10514"/>
    <cellStyle name="输出 2 2 2 2 6" xfId="10515"/>
    <cellStyle name="输出 2 2 2 2 6 2" xfId="10516"/>
    <cellStyle name="输出 2 2 2 2 7" xfId="10517"/>
    <cellStyle name="输出 2 2 2 3" xfId="2780"/>
    <cellStyle name="输出 2 2 2 3 2" xfId="10518"/>
    <cellStyle name="输出 2 2 2 3 2 2" xfId="10519"/>
    <cellStyle name="输出 2 2 2 3 3" xfId="10520"/>
    <cellStyle name="输出 2 2 2 3 3 2" xfId="10521"/>
    <cellStyle name="输出 2 2 2 3 4" xfId="10522"/>
    <cellStyle name="输出 2 2 2 3 4 2" xfId="10523"/>
    <cellStyle name="输出 2 2 2 3 5" xfId="10524"/>
    <cellStyle name="输出 2 2 2 3 5 2" xfId="10525"/>
    <cellStyle name="输出 2 2 2 3 6" xfId="10526"/>
    <cellStyle name="输出 2 2 2 3 6 2" xfId="10527"/>
    <cellStyle name="输出 2 2 2 3 7" xfId="10528"/>
    <cellStyle name="输出 2 2 2 3 7 2" xfId="10529"/>
    <cellStyle name="输出 2 2 2 3 7 2 2" xfId="10530"/>
    <cellStyle name="输出 2 2 2 3 7 2 2 2" xfId="10531"/>
    <cellStyle name="输出 2 2 2 3 7 3" xfId="10532"/>
    <cellStyle name="输出 2 2 2 3 7 3 2" xfId="10533"/>
    <cellStyle name="输出 2 2 2 3 8" xfId="10534"/>
    <cellStyle name="输出 2 2 2 3 8 2" xfId="10535"/>
    <cellStyle name="输出 2 2 2 3 8 2 2" xfId="10536"/>
    <cellStyle name="输出 2 2 2 3 9" xfId="10537"/>
    <cellStyle name="输出 2 2 2 3 9 2" xfId="10538"/>
    <cellStyle name="输出 2 2 2 4" xfId="10539"/>
    <cellStyle name="输出 2 2 2 4 2" xfId="10540"/>
    <cellStyle name="输出 2 2 2 5" xfId="10541"/>
    <cellStyle name="输出 2 2 2 5 2" xfId="10542"/>
    <cellStyle name="输出 2 2 2 6" xfId="10543"/>
    <cellStyle name="输出 2 2 2 6 2" xfId="10544"/>
    <cellStyle name="输出 2 2 2 7" xfId="10545"/>
    <cellStyle name="输出 2 2 2 7 2" xfId="10546"/>
    <cellStyle name="输出 2 2 2 8" xfId="10547"/>
    <cellStyle name="输出 2 2 3" xfId="1654"/>
    <cellStyle name="输出 2 2 3 2" xfId="2781"/>
    <cellStyle name="输出 2 2 3 2 2" xfId="10548"/>
    <cellStyle name="输出 2 2 3 2 2 2" xfId="10549"/>
    <cellStyle name="输出 2 2 3 2 3" xfId="10550"/>
    <cellStyle name="输出 2 2 3 2 3 2" xfId="10551"/>
    <cellStyle name="输出 2 2 3 2 4" xfId="10552"/>
    <cellStyle name="输出 2 2 3 2 4 2" xfId="10553"/>
    <cellStyle name="输出 2 2 3 2 5" xfId="10554"/>
    <cellStyle name="输出 2 2 3 2 5 2" xfId="10555"/>
    <cellStyle name="输出 2 2 3 2 6" xfId="10556"/>
    <cellStyle name="输出 2 2 3 2 6 2" xfId="10557"/>
    <cellStyle name="输出 2 2 3 2 7" xfId="10558"/>
    <cellStyle name="输出 2 2 3 2 7 2" xfId="10559"/>
    <cellStyle name="输出 2 2 3 2 7 2 2" xfId="10560"/>
    <cellStyle name="输出 2 2 3 2 7 2 2 2" xfId="10561"/>
    <cellStyle name="输出 2 2 3 2 7 3" xfId="10562"/>
    <cellStyle name="输出 2 2 3 2 7 3 2" xfId="10563"/>
    <cellStyle name="输出 2 2 3 2 8" xfId="10564"/>
    <cellStyle name="输出 2 2 3 2 8 2" xfId="10565"/>
    <cellStyle name="输出 2 2 3 2 8 2 2" xfId="10566"/>
    <cellStyle name="输出 2 2 3 2 9" xfId="10567"/>
    <cellStyle name="输出 2 2 3 2 9 2" xfId="10568"/>
    <cellStyle name="输出 2 2 3 3" xfId="10569"/>
    <cellStyle name="输出 2 2 3 3 2" xfId="10570"/>
    <cellStyle name="输出 2 2 3 4" xfId="10571"/>
    <cellStyle name="输出 2 2 3 4 2" xfId="10572"/>
    <cellStyle name="输出 2 2 3 5" xfId="10573"/>
    <cellStyle name="输出 2 2 3 5 2" xfId="10574"/>
    <cellStyle name="输出 2 2 3 6" xfId="10575"/>
    <cellStyle name="输出 2 2 3 6 2" xfId="10576"/>
    <cellStyle name="输出 2 2 3 7" xfId="10577"/>
    <cellStyle name="输出 2 2 4" xfId="2779"/>
    <cellStyle name="输出 2 2 4 2" xfId="10578"/>
    <cellStyle name="输出 2 2 4 2 2" xfId="10579"/>
    <cellStyle name="输出 2 2 4 3" xfId="10580"/>
    <cellStyle name="输出 2 2 4 3 2" xfId="10581"/>
    <cellStyle name="输出 2 2 4 4" xfId="10582"/>
    <cellStyle name="输出 2 2 4 4 2" xfId="10583"/>
    <cellStyle name="输出 2 2 4 5" xfId="10584"/>
    <cellStyle name="输出 2 2 4 5 2" xfId="10585"/>
    <cellStyle name="输出 2 2 4 6" xfId="10586"/>
    <cellStyle name="输出 2 2 4 6 2" xfId="10587"/>
    <cellStyle name="输出 2 2 4 7" xfId="10588"/>
    <cellStyle name="输出 2 2 4 7 2" xfId="10589"/>
    <cellStyle name="输出 2 2 4 7 2 2" xfId="10590"/>
    <cellStyle name="输出 2 2 4 7 2 2 2" xfId="10591"/>
    <cellStyle name="输出 2 2 4 7 3" xfId="10592"/>
    <cellStyle name="输出 2 2 4 7 3 2" xfId="10593"/>
    <cellStyle name="输出 2 2 4 8" xfId="10594"/>
    <cellStyle name="输出 2 2 4 8 2" xfId="10595"/>
    <cellStyle name="输出 2 2 4 8 2 2" xfId="10596"/>
    <cellStyle name="输出 2 2 4 9" xfId="10597"/>
    <cellStyle name="输出 2 2 4 9 2" xfId="10598"/>
    <cellStyle name="输出 2 2 5" xfId="10599"/>
    <cellStyle name="输出 2 2 5 2" xfId="10600"/>
    <cellStyle name="输出 2 2 6" xfId="10601"/>
    <cellStyle name="输出 2 2 6 2" xfId="10602"/>
    <cellStyle name="输出 2 2 7" xfId="10603"/>
    <cellStyle name="输出 2 2 7 2" xfId="10604"/>
    <cellStyle name="输出 2 2 8" xfId="10605"/>
    <cellStyle name="输出 2 2 8 2" xfId="10606"/>
    <cellStyle name="输出 2 2 9" xfId="10607"/>
    <cellStyle name="输出 2 3" xfId="2336"/>
    <cellStyle name="输出 2 3 10" xfId="10608"/>
    <cellStyle name="输出 2 3 2" xfId="1660"/>
    <cellStyle name="输出 2 3 2 2" xfId="2337"/>
    <cellStyle name="输出 2 3 2 2 2" xfId="4903"/>
    <cellStyle name="输出 2 3 2 2 2 2" xfId="10609"/>
    <cellStyle name="输出 2 3 2 2 2 2 2" xfId="10610"/>
    <cellStyle name="输出 2 3 2 2 2 3" xfId="10611"/>
    <cellStyle name="输出 2 3 2 2 2 3 2" xfId="10612"/>
    <cellStyle name="输出 2 3 2 2 2 4" xfId="10613"/>
    <cellStyle name="输出 2 3 2 2 2 4 2" xfId="10614"/>
    <cellStyle name="输出 2 3 2 2 2 5" xfId="10615"/>
    <cellStyle name="输出 2 3 2 2 2 5 2" xfId="10616"/>
    <cellStyle name="输出 2 3 2 2 2 6" xfId="10617"/>
    <cellStyle name="输出 2 3 2 2 2 6 2" xfId="10618"/>
    <cellStyle name="输出 2 3 2 2 2 7" xfId="10619"/>
    <cellStyle name="输出 2 3 2 2 2 7 2" xfId="10620"/>
    <cellStyle name="输出 2 3 2 2 2 7 2 2" xfId="10621"/>
    <cellStyle name="输出 2 3 2 2 2 7 2 2 2" xfId="10622"/>
    <cellStyle name="输出 2 3 2 2 2 7 3" xfId="10623"/>
    <cellStyle name="输出 2 3 2 2 2 7 3 2" xfId="10624"/>
    <cellStyle name="输出 2 3 2 2 2 8" xfId="10625"/>
    <cellStyle name="输出 2 3 2 2 2 8 2" xfId="10626"/>
    <cellStyle name="输出 2 3 2 2 2 8 2 2" xfId="10627"/>
    <cellStyle name="输出 2 3 2 2 2 9" xfId="10628"/>
    <cellStyle name="输出 2 3 2 2 2 9 2" xfId="10629"/>
    <cellStyle name="输出 2 3 2 2 3" xfId="10630"/>
    <cellStyle name="输出 2 3 2 2 3 2" xfId="10631"/>
    <cellStyle name="输出 2 3 2 2 4" xfId="10632"/>
    <cellStyle name="输出 2 3 2 2 4 2" xfId="10633"/>
    <cellStyle name="输出 2 3 2 2 5" xfId="10634"/>
    <cellStyle name="输出 2 3 2 2 5 2" xfId="10635"/>
    <cellStyle name="输出 2 3 2 2 6" xfId="10636"/>
    <cellStyle name="输出 2 3 2 2 6 2" xfId="10637"/>
    <cellStyle name="输出 2 3 2 2 7" xfId="10638"/>
    <cellStyle name="输出 2 3 2 3" xfId="4902"/>
    <cellStyle name="输出 2 3 2 3 2" xfId="10639"/>
    <cellStyle name="输出 2 3 2 3 2 2" xfId="10640"/>
    <cellStyle name="输出 2 3 2 3 3" xfId="10641"/>
    <cellStyle name="输出 2 3 2 3 3 2" xfId="10642"/>
    <cellStyle name="输出 2 3 2 3 4" xfId="10643"/>
    <cellStyle name="输出 2 3 2 3 4 2" xfId="10644"/>
    <cellStyle name="输出 2 3 2 3 5" xfId="10645"/>
    <cellStyle name="输出 2 3 2 3 5 2" xfId="10646"/>
    <cellStyle name="输出 2 3 2 3 6" xfId="10647"/>
    <cellStyle name="输出 2 3 2 3 6 2" xfId="10648"/>
    <cellStyle name="输出 2 3 2 3 7" xfId="10649"/>
    <cellStyle name="输出 2 3 2 3 7 2" xfId="10650"/>
    <cellStyle name="输出 2 3 2 3 7 2 2" xfId="10651"/>
    <cellStyle name="输出 2 3 2 3 7 2 2 2" xfId="10652"/>
    <cellStyle name="输出 2 3 2 3 7 3" xfId="10653"/>
    <cellStyle name="输出 2 3 2 3 7 3 2" xfId="10654"/>
    <cellStyle name="输出 2 3 2 3 8" xfId="10655"/>
    <cellStyle name="输出 2 3 2 3 8 2" xfId="10656"/>
    <cellStyle name="输出 2 3 2 3 8 2 2" xfId="10657"/>
    <cellStyle name="输出 2 3 2 3 9" xfId="10658"/>
    <cellStyle name="输出 2 3 2 3 9 2" xfId="10659"/>
    <cellStyle name="输出 2 3 2 4" xfId="10660"/>
    <cellStyle name="输出 2 3 2 4 2" xfId="10661"/>
    <cellStyle name="输出 2 3 2 5" xfId="10662"/>
    <cellStyle name="输出 2 3 2 5 2" xfId="10663"/>
    <cellStyle name="输出 2 3 2 6" xfId="10664"/>
    <cellStyle name="输出 2 3 2 6 2" xfId="10665"/>
    <cellStyle name="输出 2 3 2 7" xfId="10666"/>
    <cellStyle name="输出 2 3 2 7 2" xfId="10667"/>
    <cellStyle name="输出 2 3 2 8" xfId="10668"/>
    <cellStyle name="输出 2 3 3" xfId="1662"/>
    <cellStyle name="输出 2 3 3 2" xfId="4904"/>
    <cellStyle name="输出 2 3 3 2 2" xfId="10669"/>
    <cellStyle name="输出 2 3 3 2 2 2" xfId="10670"/>
    <cellStyle name="输出 2 3 3 2 3" xfId="10671"/>
    <cellStyle name="输出 2 3 3 2 3 2" xfId="10672"/>
    <cellStyle name="输出 2 3 3 2 4" xfId="10673"/>
    <cellStyle name="输出 2 3 3 2 4 2" xfId="10674"/>
    <cellStyle name="输出 2 3 3 2 5" xfId="10675"/>
    <cellStyle name="输出 2 3 3 2 5 2" xfId="10676"/>
    <cellStyle name="输出 2 3 3 2 6" xfId="10677"/>
    <cellStyle name="输出 2 3 3 2 6 2" xfId="10678"/>
    <cellStyle name="输出 2 3 3 2 7" xfId="10679"/>
    <cellStyle name="输出 2 3 3 2 7 2" xfId="10680"/>
    <cellStyle name="输出 2 3 3 2 7 2 2" xfId="10681"/>
    <cellStyle name="输出 2 3 3 2 7 2 2 2" xfId="10682"/>
    <cellStyle name="输出 2 3 3 2 7 3" xfId="10683"/>
    <cellStyle name="输出 2 3 3 2 7 3 2" xfId="10684"/>
    <cellStyle name="输出 2 3 3 2 8" xfId="10685"/>
    <cellStyle name="输出 2 3 3 2 8 2" xfId="10686"/>
    <cellStyle name="输出 2 3 3 2 8 2 2" xfId="10687"/>
    <cellStyle name="输出 2 3 3 2 9" xfId="10688"/>
    <cellStyle name="输出 2 3 3 2 9 2" xfId="10689"/>
    <cellStyle name="输出 2 3 3 3" xfId="10690"/>
    <cellStyle name="输出 2 3 3 3 2" xfId="10691"/>
    <cellStyle name="输出 2 3 3 4" xfId="10692"/>
    <cellStyle name="输出 2 3 3 4 2" xfId="10693"/>
    <cellStyle name="输出 2 3 3 5" xfId="10694"/>
    <cellStyle name="输出 2 3 3 5 2" xfId="10695"/>
    <cellStyle name="输出 2 3 3 6" xfId="10696"/>
    <cellStyle name="输出 2 3 3 6 2" xfId="10697"/>
    <cellStyle name="输出 2 3 3 7" xfId="10698"/>
    <cellStyle name="输出 2 3 4" xfId="2782"/>
    <cellStyle name="输出 2 3 4 2" xfId="10699"/>
    <cellStyle name="输出 2 3 4 2 2" xfId="10700"/>
    <cellStyle name="输出 2 3 4 3" xfId="10701"/>
    <cellStyle name="输出 2 3 4 3 2" xfId="10702"/>
    <cellStyle name="输出 2 3 4 4" xfId="10703"/>
    <cellStyle name="输出 2 3 4 4 2" xfId="10704"/>
    <cellStyle name="输出 2 3 4 5" xfId="10705"/>
    <cellStyle name="输出 2 3 4 5 2" xfId="10706"/>
    <cellStyle name="输出 2 3 4 6" xfId="10707"/>
    <cellStyle name="输出 2 3 4 6 2" xfId="10708"/>
    <cellStyle name="输出 2 3 4 7" xfId="10709"/>
    <cellStyle name="输出 2 3 4 7 2" xfId="10710"/>
    <cellStyle name="输出 2 3 4 7 2 2" xfId="10711"/>
    <cellStyle name="输出 2 3 4 7 2 2 2" xfId="10712"/>
    <cellStyle name="输出 2 3 4 7 3" xfId="10713"/>
    <cellStyle name="输出 2 3 4 7 3 2" xfId="10714"/>
    <cellStyle name="输出 2 3 4 8" xfId="10715"/>
    <cellStyle name="输出 2 3 4 8 2" xfId="10716"/>
    <cellStyle name="输出 2 3 4 8 2 2" xfId="10717"/>
    <cellStyle name="输出 2 3 4 9" xfId="10718"/>
    <cellStyle name="输出 2 3 4 9 2" xfId="10719"/>
    <cellStyle name="输出 2 3 5" xfId="4901"/>
    <cellStyle name="输出 2 3 5 2" xfId="10720"/>
    <cellStyle name="输出 2 3 5 2 2" xfId="10721"/>
    <cellStyle name="输出 2 3 5 3" xfId="10722"/>
    <cellStyle name="输出 2 3 5 3 2" xfId="10723"/>
    <cellStyle name="输出 2 3 5 4" xfId="10724"/>
    <cellStyle name="输出 2 3 5 4 2" xfId="10725"/>
    <cellStyle name="输出 2 3 5 5" xfId="10726"/>
    <cellStyle name="输出 2 3 5 5 2" xfId="10727"/>
    <cellStyle name="输出 2 3 5 6" xfId="10728"/>
    <cellStyle name="输出 2 3 5 6 2" xfId="10729"/>
    <cellStyle name="输出 2 3 5 7" xfId="10730"/>
    <cellStyle name="输出 2 3 5 7 2" xfId="10731"/>
    <cellStyle name="输出 2 3 5 7 2 2" xfId="10732"/>
    <cellStyle name="输出 2 3 5 7 2 2 2" xfId="10733"/>
    <cellStyle name="输出 2 3 5 7 3" xfId="10734"/>
    <cellStyle name="输出 2 3 5 7 3 2" xfId="10735"/>
    <cellStyle name="输出 2 3 5 8" xfId="10736"/>
    <cellStyle name="输出 2 3 5 8 2" xfId="10737"/>
    <cellStyle name="输出 2 3 5 8 2 2" xfId="10738"/>
    <cellStyle name="输出 2 3 5 9" xfId="10739"/>
    <cellStyle name="输出 2 3 5 9 2" xfId="10740"/>
    <cellStyle name="输出 2 3 6" xfId="10741"/>
    <cellStyle name="输出 2 3 6 2" xfId="10742"/>
    <cellStyle name="输出 2 3 7" xfId="10743"/>
    <cellStyle name="输出 2 3 7 2" xfId="10744"/>
    <cellStyle name="输出 2 3 8" xfId="10745"/>
    <cellStyle name="输出 2 3 8 2" xfId="10746"/>
    <cellStyle name="输出 2 3 9" xfId="10747"/>
    <cellStyle name="输出 2 3 9 2" xfId="10748"/>
    <cellStyle name="输出 2 4" xfId="2338"/>
    <cellStyle name="输出 2 4 2" xfId="1666"/>
    <cellStyle name="输出 2 4 2 2" xfId="4906"/>
    <cellStyle name="输出 2 4 2 2 2" xfId="10749"/>
    <cellStyle name="输出 2 4 2 2 2 2" xfId="10750"/>
    <cellStyle name="输出 2 4 2 2 3" xfId="10751"/>
    <cellStyle name="输出 2 4 2 2 3 2" xfId="10752"/>
    <cellStyle name="输出 2 4 2 2 4" xfId="10753"/>
    <cellStyle name="输出 2 4 2 2 4 2" xfId="10754"/>
    <cellStyle name="输出 2 4 2 2 5" xfId="10755"/>
    <cellStyle name="输出 2 4 2 2 5 2" xfId="10756"/>
    <cellStyle name="输出 2 4 2 2 6" xfId="10757"/>
    <cellStyle name="输出 2 4 2 2 6 2" xfId="10758"/>
    <cellStyle name="输出 2 4 2 2 7" xfId="10759"/>
    <cellStyle name="输出 2 4 2 2 7 2" xfId="10760"/>
    <cellStyle name="输出 2 4 2 2 7 2 2" xfId="10761"/>
    <cellStyle name="输出 2 4 2 2 7 2 2 2" xfId="10762"/>
    <cellStyle name="输出 2 4 2 2 7 3" xfId="10763"/>
    <cellStyle name="输出 2 4 2 2 7 3 2" xfId="10764"/>
    <cellStyle name="输出 2 4 2 2 8" xfId="10765"/>
    <cellStyle name="输出 2 4 2 2 8 2" xfId="10766"/>
    <cellStyle name="输出 2 4 2 2 8 2 2" xfId="10767"/>
    <cellStyle name="输出 2 4 2 2 9" xfId="10768"/>
    <cellStyle name="输出 2 4 2 2 9 2" xfId="10769"/>
    <cellStyle name="输出 2 4 2 3" xfId="10770"/>
    <cellStyle name="输出 2 4 2 3 2" xfId="10771"/>
    <cellStyle name="输出 2 4 2 4" xfId="10772"/>
    <cellStyle name="输出 2 4 2 4 2" xfId="10773"/>
    <cellStyle name="输出 2 4 2 5" xfId="10774"/>
    <cellStyle name="输出 2 4 2 5 2" xfId="10775"/>
    <cellStyle name="输出 2 4 2 6" xfId="10776"/>
    <cellStyle name="输出 2 4 2 6 2" xfId="10777"/>
    <cellStyle name="输出 2 4 2 7" xfId="10778"/>
    <cellStyle name="输出 2 4 3" xfId="4905"/>
    <cellStyle name="输出 2 4 3 2" xfId="10779"/>
    <cellStyle name="输出 2 4 3 2 2" xfId="10780"/>
    <cellStyle name="输出 2 4 3 3" xfId="10781"/>
    <cellStyle name="输出 2 4 3 3 2" xfId="10782"/>
    <cellStyle name="输出 2 4 3 4" xfId="10783"/>
    <cellStyle name="输出 2 4 3 4 2" xfId="10784"/>
    <cellStyle name="输出 2 4 3 5" xfId="10785"/>
    <cellStyle name="输出 2 4 3 5 2" xfId="10786"/>
    <cellStyle name="输出 2 4 3 6" xfId="10787"/>
    <cellStyle name="输出 2 4 3 6 2" xfId="10788"/>
    <cellStyle name="输出 2 4 3 7" xfId="10789"/>
    <cellStyle name="输出 2 4 3 7 2" xfId="10790"/>
    <cellStyle name="输出 2 4 3 7 2 2" xfId="10791"/>
    <cellStyle name="输出 2 4 3 7 2 2 2" xfId="10792"/>
    <cellStyle name="输出 2 4 3 7 3" xfId="10793"/>
    <cellStyle name="输出 2 4 3 7 3 2" xfId="10794"/>
    <cellStyle name="输出 2 4 3 8" xfId="10795"/>
    <cellStyle name="输出 2 4 3 8 2" xfId="10796"/>
    <cellStyle name="输出 2 4 3 8 2 2" xfId="10797"/>
    <cellStyle name="输出 2 4 3 9" xfId="10798"/>
    <cellStyle name="输出 2 4 3 9 2" xfId="10799"/>
    <cellStyle name="输出 2 4 4" xfId="10800"/>
    <cellStyle name="输出 2 4 4 2" xfId="10801"/>
    <cellStyle name="输出 2 4 5" xfId="10802"/>
    <cellStyle name="输出 2 4 5 2" xfId="10803"/>
    <cellStyle name="输出 2 4 6" xfId="10804"/>
    <cellStyle name="输出 2 4 6 2" xfId="10805"/>
    <cellStyle name="输出 2 4 7" xfId="10806"/>
    <cellStyle name="输出 2 4 7 2" xfId="10807"/>
    <cellStyle name="输出 2 4 8" xfId="10808"/>
    <cellStyle name="输出 2 5" xfId="1863"/>
    <cellStyle name="输出 2 5 2" xfId="4907"/>
    <cellStyle name="输出 2 5 2 2" xfId="10809"/>
    <cellStyle name="输出 2 5 2 2 2" xfId="10810"/>
    <cellStyle name="输出 2 5 2 3" xfId="10811"/>
    <cellStyle name="输出 2 5 2 3 2" xfId="10812"/>
    <cellStyle name="输出 2 5 2 4" xfId="10813"/>
    <cellStyle name="输出 2 5 2 4 2" xfId="10814"/>
    <cellStyle name="输出 2 5 2 5" xfId="10815"/>
    <cellStyle name="输出 2 5 2 5 2" xfId="10816"/>
    <cellStyle name="输出 2 5 2 6" xfId="10817"/>
    <cellStyle name="输出 2 5 2 6 2" xfId="10818"/>
    <cellStyle name="输出 2 5 2 7" xfId="10819"/>
    <cellStyle name="输出 2 5 2 7 2" xfId="10820"/>
    <cellStyle name="输出 2 5 2 7 2 2" xfId="10821"/>
    <cellStyle name="输出 2 5 2 7 2 2 2" xfId="10822"/>
    <cellStyle name="输出 2 5 2 7 3" xfId="10823"/>
    <cellStyle name="输出 2 5 2 7 3 2" xfId="10824"/>
    <cellStyle name="输出 2 5 2 8" xfId="10825"/>
    <cellStyle name="输出 2 5 2 8 2" xfId="10826"/>
    <cellStyle name="输出 2 5 2 8 2 2" xfId="10827"/>
    <cellStyle name="输出 2 5 2 9" xfId="10828"/>
    <cellStyle name="输出 2 5 2 9 2" xfId="10829"/>
    <cellStyle name="输出 2 5 3" xfId="10830"/>
    <cellStyle name="输出 2 5 3 2" xfId="10831"/>
    <cellStyle name="输出 2 5 4" xfId="10832"/>
    <cellStyle name="输出 2 5 4 2" xfId="10833"/>
    <cellStyle name="输出 2 5 5" xfId="10834"/>
    <cellStyle name="输出 2 5 5 2" xfId="10835"/>
    <cellStyle name="输出 2 5 6" xfId="10836"/>
    <cellStyle name="输出 2 5 6 2" xfId="10837"/>
    <cellStyle name="输出 2 5 7" xfId="10838"/>
    <cellStyle name="输出 2 6" xfId="2778"/>
    <cellStyle name="输出 2 6 2" xfId="10839"/>
    <cellStyle name="输出 2 6 2 2" xfId="10840"/>
    <cellStyle name="输出 2 6 3" xfId="10841"/>
    <cellStyle name="输出 2 6 3 2" xfId="10842"/>
    <cellStyle name="输出 2 6 4" xfId="10843"/>
    <cellStyle name="输出 2 6 4 2" xfId="10844"/>
    <cellStyle name="输出 2 6 5" xfId="10845"/>
    <cellStyle name="输出 2 6 5 2" xfId="10846"/>
    <cellStyle name="输出 2 6 6" xfId="10847"/>
    <cellStyle name="输出 2 6 6 2" xfId="10848"/>
    <cellStyle name="输出 2 6 7" xfId="10849"/>
    <cellStyle name="输出 2 6 7 2" xfId="10850"/>
    <cellStyle name="输出 2 6 7 2 2" xfId="10851"/>
    <cellStyle name="输出 2 6 7 2 2 2" xfId="10852"/>
    <cellStyle name="输出 2 6 7 3" xfId="10853"/>
    <cellStyle name="输出 2 6 7 3 2" xfId="10854"/>
    <cellStyle name="输出 2 6 8" xfId="10855"/>
    <cellStyle name="输出 2 6 8 2" xfId="10856"/>
    <cellStyle name="输出 2 6 8 2 2" xfId="10857"/>
    <cellStyle name="输出 2 6 9" xfId="10858"/>
    <cellStyle name="输出 2 6 9 2" xfId="10859"/>
    <cellStyle name="输出 2 7" xfId="4899"/>
    <cellStyle name="输出 2 7 2" xfId="10860"/>
    <cellStyle name="输出 2 7 2 2" xfId="10861"/>
    <cellStyle name="输出 2 7 3" xfId="10862"/>
    <cellStyle name="输出 2 7 3 2" xfId="10863"/>
    <cellStyle name="输出 2 7 4" xfId="10864"/>
    <cellStyle name="输出 2 7 4 2" xfId="10865"/>
    <cellStyle name="输出 2 7 5" xfId="10866"/>
    <cellStyle name="输出 2 7 5 2" xfId="10867"/>
    <cellStyle name="输出 2 7 6" xfId="10868"/>
    <cellStyle name="输出 2 7 6 2" xfId="10869"/>
    <cellStyle name="输出 2 7 7" xfId="10870"/>
    <cellStyle name="输出 2 7 7 2" xfId="10871"/>
    <cellStyle name="输出 2 7 7 2 2" xfId="10872"/>
    <cellStyle name="输出 2 7 7 2 2 2" xfId="10873"/>
    <cellStyle name="输出 2 7 7 3" xfId="10874"/>
    <cellStyle name="输出 2 7 7 3 2" xfId="10875"/>
    <cellStyle name="输出 2 7 8" xfId="10876"/>
    <cellStyle name="输出 2 7 8 2" xfId="10877"/>
    <cellStyle name="输出 2 7 8 2 2" xfId="10878"/>
    <cellStyle name="输出 2 7 9" xfId="10879"/>
    <cellStyle name="输出 2 7 9 2" xfId="10880"/>
    <cellStyle name="输出 2 8" xfId="10881"/>
    <cellStyle name="输出 2 8 2" xfId="10882"/>
    <cellStyle name="输出 2 9" xfId="10883"/>
    <cellStyle name="输出 2 9 2" xfId="10884"/>
    <cellStyle name="输出 3" xfId="2339"/>
    <cellStyle name="输出 3 10" xfId="10885"/>
    <cellStyle name="输出 3 2" xfId="2340"/>
    <cellStyle name="输出 3 2 2" xfId="2082"/>
    <cellStyle name="输出 3 2 2 2" xfId="2341"/>
    <cellStyle name="输出 3 2 2 2 2" xfId="4910"/>
    <cellStyle name="输出 3 2 2 2 2 2" xfId="10886"/>
    <cellStyle name="输出 3 2 2 2 2 2 2" xfId="10887"/>
    <cellStyle name="输出 3 2 2 2 2 3" xfId="10888"/>
    <cellStyle name="输出 3 2 2 2 2 3 2" xfId="10889"/>
    <cellStyle name="输出 3 2 2 2 2 4" xfId="10890"/>
    <cellStyle name="输出 3 2 2 2 2 4 2" xfId="10891"/>
    <cellStyle name="输出 3 2 2 2 2 5" xfId="10892"/>
    <cellStyle name="输出 3 2 2 2 2 5 2" xfId="10893"/>
    <cellStyle name="输出 3 2 2 2 2 6" xfId="10894"/>
    <cellStyle name="输出 3 2 2 2 2 6 2" xfId="10895"/>
    <cellStyle name="输出 3 2 2 2 2 7" xfId="10896"/>
    <cellStyle name="输出 3 2 2 2 2 7 2" xfId="10897"/>
    <cellStyle name="输出 3 2 2 2 2 7 2 2" xfId="10898"/>
    <cellStyle name="输出 3 2 2 2 2 7 2 2 2" xfId="10899"/>
    <cellStyle name="输出 3 2 2 2 2 7 3" xfId="10900"/>
    <cellStyle name="输出 3 2 2 2 2 7 3 2" xfId="10901"/>
    <cellStyle name="输出 3 2 2 2 2 8" xfId="10902"/>
    <cellStyle name="输出 3 2 2 2 2 8 2" xfId="10903"/>
    <cellStyle name="输出 3 2 2 2 2 8 2 2" xfId="10904"/>
    <cellStyle name="输出 3 2 2 2 2 9" xfId="10905"/>
    <cellStyle name="输出 3 2 2 2 2 9 2" xfId="10906"/>
    <cellStyle name="输出 3 2 2 2 3" xfId="10907"/>
    <cellStyle name="输出 3 2 2 2 3 2" xfId="10908"/>
    <cellStyle name="输出 3 2 2 2 4" xfId="10909"/>
    <cellStyle name="输出 3 2 2 2 4 2" xfId="10910"/>
    <cellStyle name="输出 3 2 2 2 5" xfId="10911"/>
    <cellStyle name="输出 3 2 2 2 5 2" xfId="10912"/>
    <cellStyle name="输出 3 2 2 2 6" xfId="10913"/>
    <cellStyle name="输出 3 2 2 2 6 2" xfId="10914"/>
    <cellStyle name="输出 3 2 2 2 7" xfId="10915"/>
    <cellStyle name="输出 3 2 2 3" xfId="4909"/>
    <cellStyle name="输出 3 2 2 3 2" xfId="10916"/>
    <cellStyle name="输出 3 2 2 3 2 2" xfId="10917"/>
    <cellStyle name="输出 3 2 2 3 3" xfId="10918"/>
    <cellStyle name="输出 3 2 2 3 3 2" xfId="10919"/>
    <cellStyle name="输出 3 2 2 3 4" xfId="10920"/>
    <cellStyle name="输出 3 2 2 3 4 2" xfId="10921"/>
    <cellStyle name="输出 3 2 2 3 5" xfId="10922"/>
    <cellStyle name="输出 3 2 2 3 5 2" xfId="10923"/>
    <cellStyle name="输出 3 2 2 3 6" xfId="10924"/>
    <cellStyle name="输出 3 2 2 3 6 2" xfId="10925"/>
    <cellStyle name="输出 3 2 2 3 7" xfId="10926"/>
    <cellStyle name="输出 3 2 2 3 7 2" xfId="10927"/>
    <cellStyle name="输出 3 2 2 3 7 2 2" xfId="10928"/>
    <cellStyle name="输出 3 2 2 3 7 2 2 2" xfId="10929"/>
    <cellStyle name="输出 3 2 2 3 7 3" xfId="10930"/>
    <cellStyle name="输出 3 2 2 3 7 3 2" xfId="10931"/>
    <cellStyle name="输出 3 2 2 3 8" xfId="10932"/>
    <cellStyle name="输出 3 2 2 3 8 2" xfId="10933"/>
    <cellStyle name="输出 3 2 2 3 8 2 2" xfId="10934"/>
    <cellStyle name="输出 3 2 2 3 9" xfId="10935"/>
    <cellStyle name="输出 3 2 2 3 9 2" xfId="10936"/>
    <cellStyle name="输出 3 2 2 4" xfId="10937"/>
    <cellStyle name="输出 3 2 2 4 2" xfId="10938"/>
    <cellStyle name="输出 3 2 2 5" xfId="10939"/>
    <cellStyle name="输出 3 2 2 5 2" xfId="10940"/>
    <cellStyle name="输出 3 2 2 6" xfId="10941"/>
    <cellStyle name="输出 3 2 2 6 2" xfId="10942"/>
    <cellStyle name="输出 3 2 2 7" xfId="10943"/>
    <cellStyle name="输出 3 2 2 7 2" xfId="10944"/>
    <cellStyle name="输出 3 2 2 8" xfId="10945"/>
    <cellStyle name="输出 3 2 3" xfId="2342"/>
    <cellStyle name="输出 3 2 3 2" xfId="4911"/>
    <cellStyle name="输出 3 2 3 2 2" xfId="10946"/>
    <cellStyle name="输出 3 2 3 2 2 2" xfId="10947"/>
    <cellStyle name="输出 3 2 3 2 3" xfId="10948"/>
    <cellStyle name="输出 3 2 3 2 3 2" xfId="10949"/>
    <cellStyle name="输出 3 2 3 2 4" xfId="10950"/>
    <cellStyle name="输出 3 2 3 2 4 2" xfId="10951"/>
    <cellStyle name="输出 3 2 3 2 5" xfId="10952"/>
    <cellStyle name="输出 3 2 3 2 5 2" xfId="10953"/>
    <cellStyle name="输出 3 2 3 2 6" xfId="10954"/>
    <cellStyle name="输出 3 2 3 2 6 2" xfId="10955"/>
    <cellStyle name="输出 3 2 3 2 7" xfId="10956"/>
    <cellStyle name="输出 3 2 3 2 7 2" xfId="10957"/>
    <cellStyle name="输出 3 2 3 2 7 2 2" xfId="10958"/>
    <cellStyle name="输出 3 2 3 2 7 2 2 2" xfId="10959"/>
    <cellStyle name="输出 3 2 3 2 7 3" xfId="10960"/>
    <cellStyle name="输出 3 2 3 2 7 3 2" xfId="10961"/>
    <cellStyle name="输出 3 2 3 2 8" xfId="10962"/>
    <cellStyle name="输出 3 2 3 2 8 2" xfId="10963"/>
    <cellStyle name="输出 3 2 3 2 8 2 2" xfId="10964"/>
    <cellStyle name="输出 3 2 3 2 9" xfId="10965"/>
    <cellStyle name="输出 3 2 3 2 9 2" xfId="10966"/>
    <cellStyle name="输出 3 2 3 3" xfId="10967"/>
    <cellStyle name="输出 3 2 3 3 2" xfId="10968"/>
    <cellStyle name="输出 3 2 3 4" xfId="10969"/>
    <cellStyle name="输出 3 2 3 4 2" xfId="10970"/>
    <cellStyle name="输出 3 2 3 5" xfId="10971"/>
    <cellStyle name="输出 3 2 3 5 2" xfId="10972"/>
    <cellStyle name="输出 3 2 3 6" xfId="10973"/>
    <cellStyle name="输出 3 2 3 6 2" xfId="10974"/>
    <cellStyle name="输出 3 2 3 7" xfId="10975"/>
    <cellStyle name="输出 3 2 4" xfId="4908"/>
    <cellStyle name="输出 3 2 4 2" xfId="10976"/>
    <cellStyle name="输出 3 2 4 2 2" xfId="10977"/>
    <cellStyle name="输出 3 2 4 3" xfId="10978"/>
    <cellStyle name="输出 3 2 4 3 2" xfId="10979"/>
    <cellStyle name="输出 3 2 4 4" xfId="10980"/>
    <cellStyle name="输出 3 2 4 4 2" xfId="10981"/>
    <cellStyle name="输出 3 2 4 5" xfId="10982"/>
    <cellStyle name="输出 3 2 4 5 2" xfId="10983"/>
    <cellStyle name="输出 3 2 4 6" xfId="10984"/>
    <cellStyle name="输出 3 2 4 6 2" xfId="10985"/>
    <cellStyle name="输出 3 2 4 7" xfId="10986"/>
    <cellStyle name="输出 3 2 4 7 2" xfId="10987"/>
    <cellStyle name="输出 3 2 4 7 2 2" xfId="10988"/>
    <cellStyle name="输出 3 2 4 7 2 2 2" xfId="10989"/>
    <cellStyle name="输出 3 2 4 7 3" xfId="10990"/>
    <cellStyle name="输出 3 2 4 7 3 2" xfId="10991"/>
    <cellStyle name="输出 3 2 4 8" xfId="10992"/>
    <cellStyle name="输出 3 2 4 8 2" xfId="10993"/>
    <cellStyle name="输出 3 2 4 8 2 2" xfId="10994"/>
    <cellStyle name="输出 3 2 4 9" xfId="10995"/>
    <cellStyle name="输出 3 2 4 9 2" xfId="10996"/>
    <cellStyle name="输出 3 2 5" xfId="10997"/>
    <cellStyle name="输出 3 2 5 2" xfId="10998"/>
    <cellStyle name="输出 3 2 6" xfId="10999"/>
    <cellStyle name="输出 3 2 6 2" xfId="11000"/>
    <cellStyle name="输出 3 2 7" xfId="11001"/>
    <cellStyle name="输出 3 2 7 2" xfId="11002"/>
    <cellStyle name="输出 3 2 8" xfId="11003"/>
    <cellStyle name="输出 3 2 8 2" xfId="11004"/>
    <cellStyle name="输出 3 2 9" xfId="11005"/>
    <cellStyle name="输出 3 3" xfId="2343"/>
    <cellStyle name="输出 3 3 2" xfId="2344"/>
    <cellStyle name="输出 3 3 2 2" xfId="4913"/>
    <cellStyle name="输出 3 3 2 2 2" xfId="11006"/>
    <cellStyle name="输出 3 3 2 2 2 2" xfId="11007"/>
    <cellStyle name="输出 3 3 2 2 3" xfId="11008"/>
    <cellStyle name="输出 3 3 2 2 3 2" xfId="11009"/>
    <cellStyle name="输出 3 3 2 2 4" xfId="11010"/>
    <cellStyle name="输出 3 3 2 2 4 2" xfId="11011"/>
    <cellStyle name="输出 3 3 2 2 5" xfId="11012"/>
    <cellStyle name="输出 3 3 2 2 5 2" xfId="11013"/>
    <cellStyle name="输出 3 3 2 2 6" xfId="11014"/>
    <cellStyle name="输出 3 3 2 2 6 2" xfId="11015"/>
    <cellStyle name="输出 3 3 2 2 7" xfId="11016"/>
    <cellStyle name="输出 3 3 2 2 7 2" xfId="11017"/>
    <cellStyle name="输出 3 3 2 2 7 2 2" xfId="11018"/>
    <cellStyle name="输出 3 3 2 2 7 2 2 2" xfId="11019"/>
    <cellStyle name="输出 3 3 2 2 7 3" xfId="11020"/>
    <cellStyle name="输出 3 3 2 2 7 3 2" xfId="11021"/>
    <cellStyle name="输出 3 3 2 2 8" xfId="11022"/>
    <cellStyle name="输出 3 3 2 2 8 2" xfId="11023"/>
    <cellStyle name="输出 3 3 2 2 8 2 2" xfId="11024"/>
    <cellStyle name="输出 3 3 2 2 9" xfId="11025"/>
    <cellStyle name="输出 3 3 2 2 9 2" xfId="11026"/>
    <cellStyle name="输出 3 3 2 3" xfId="11027"/>
    <cellStyle name="输出 3 3 2 3 2" xfId="11028"/>
    <cellStyle name="输出 3 3 2 4" xfId="11029"/>
    <cellStyle name="输出 3 3 2 4 2" xfId="11030"/>
    <cellStyle name="输出 3 3 2 5" xfId="11031"/>
    <cellStyle name="输出 3 3 2 5 2" xfId="11032"/>
    <cellStyle name="输出 3 3 2 6" xfId="11033"/>
    <cellStyle name="输出 3 3 2 6 2" xfId="11034"/>
    <cellStyle name="输出 3 3 2 7" xfId="11035"/>
    <cellStyle name="输出 3 3 3" xfId="4912"/>
    <cellStyle name="输出 3 3 3 2" xfId="11036"/>
    <cellStyle name="输出 3 3 3 2 2" xfId="11037"/>
    <cellStyle name="输出 3 3 3 3" xfId="11038"/>
    <cellStyle name="输出 3 3 3 3 2" xfId="11039"/>
    <cellStyle name="输出 3 3 3 4" xfId="11040"/>
    <cellStyle name="输出 3 3 3 4 2" xfId="11041"/>
    <cellStyle name="输出 3 3 3 5" xfId="11042"/>
    <cellStyle name="输出 3 3 3 5 2" xfId="11043"/>
    <cellStyle name="输出 3 3 3 6" xfId="11044"/>
    <cellStyle name="输出 3 3 3 6 2" xfId="11045"/>
    <cellStyle name="输出 3 3 3 7" xfId="11046"/>
    <cellStyle name="输出 3 3 3 7 2" xfId="11047"/>
    <cellStyle name="输出 3 3 3 7 2 2" xfId="11048"/>
    <cellStyle name="输出 3 3 3 7 2 2 2" xfId="11049"/>
    <cellStyle name="输出 3 3 3 7 3" xfId="11050"/>
    <cellStyle name="输出 3 3 3 7 3 2" xfId="11051"/>
    <cellStyle name="输出 3 3 3 8" xfId="11052"/>
    <cellStyle name="输出 3 3 3 8 2" xfId="11053"/>
    <cellStyle name="输出 3 3 3 8 2 2" xfId="11054"/>
    <cellStyle name="输出 3 3 3 9" xfId="11055"/>
    <cellStyle name="输出 3 3 3 9 2" xfId="11056"/>
    <cellStyle name="输出 3 3 4" xfId="11057"/>
    <cellStyle name="输出 3 3 4 2" xfId="11058"/>
    <cellStyle name="输出 3 3 5" xfId="11059"/>
    <cellStyle name="输出 3 3 5 2" xfId="11060"/>
    <cellStyle name="输出 3 3 6" xfId="11061"/>
    <cellStyle name="输出 3 3 6 2" xfId="11062"/>
    <cellStyle name="输出 3 3 7" xfId="11063"/>
    <cellStyle name="输出 3 3 7 2" xfId="11064"/>
    <cellStyle name="输出 3 3 8" xfId="11065"/>
    <cellStyle name="输出 3 4" xfId="2345"/>
    <cellStyle name="输出 3 4 2" xfId="4914"/>
    <cellStyle name="输出 3 4 2 2" xfId="11066"/>
    <cellStyle name="输出 3 4 2 2 2" xfId="11067"/>
    <cellStyle name="输出 3 4 2 3" xfId="11068"/>
    <cellStyle name="输出 3 4 2 3 2" xfId="11069"/>
    <cellStyle name="输出 3 4 2 4" xfId="11070"/>
    <cellStyle name="输出 3 4 2 4 2" xfId="11071"/>
    <cellStyle name="输出 3 4 2 5" xfId="11072"/>
    <cellStyle name="输出 3 4 2 5 2" xfId="11073"/>
    <cellStyle name="输出 3 4 2 6" xfId="11074"/>
    <cellStyle name="输出 3 4 2 6 2" xfId="11075"/>
    <cellStyle name="输出 3 4 2 7" xfId="11076"/>
    <cellStyle name="输出 3 4 2 7 2" xfId="11077"/>
    <cellStyle name="输出 3 4 2 7 2 2" xfId="11078"/>
    <cellStyle name="输出 3 4 2 7 2 2 2" xfId="11079"/>
    <cellStyle name="输出 3 4 2 7 3" xfId="11080"/>
    <cellStyle name="输出 3 4 2 7 3 2" xfId="11081"/>
    <cellStyle name="输出 3 4 2 8" xfId="11082"/>
    <cellStyle name="输出 3 4 2 8 2" xfId="11083"/>
    <cellStyle name="输出 3 4 2 8 2 2" xfId="11084"/>
    <cellStyle name="输出 3 4 2 9" xfId="11085"/>
    <cellStyle name="输出 3 4 2 9 2" xfId="11086"/>
    <cellStyle name="输出 3 4 3" xfId="11087"/>
    <cellStyle name="输出 3 4 3 2" xfId="11088"/>
    <cellStyle name="输出 3 4 4" xfId="11089"/>
    <cellStyle name="输出 3 4 4 2" xfId="11090"/>
    <cellStyle name="输出 3 4 5" xfId="11091"/>
    <cellStyle name="输出 3 4 5 2" xfId="11092"/>
    <cellStyle name="输出 3 4 6" xfId="11093"/>
    <cellStyle name="输出 3 4 6 2" xfId="11094"/>
    <cellStyle name="输出 3 4 7" xfId="11095"/>
    <cellStyle name="输出 3 5" xfId="2783"/>
    <cellStyle name="输出 3 5 2" xfId="11096"/>
    <cellStyle name="输出 3 5 2 2" xfId="11097"/>
    <cellStyle name="输出 3 5 3" xfId="11098"/>
    <cellStyle name="输出 3 5 3 2" xfId="11099"/>
    <cellStyle name="输出 3 5 4" xfId="11100"/>
    <cellStyle name="输出 3 5 4 2" xfId="11101"/>
    <cellStyle name="输出 3 5 5" xfId="11102"/>
    <cellStyle name="输出 3 5 5 2" xfId="11103"/>
    <cellStyle name="输出 3 5 6" xfId="11104"/>
    <cellStyle name="输出 3 5 6 2" xfId="11105"/>
    <cellStyle name="输出 3 5 7" xfId="11106"/>
    <cellStyle name="输出 3 5 7 2" xfId="11107"/>
    <cellStyle name="输出 3 5 7 2 2" xfId="11108"/>
    <cellStyle name="输出 3 5 7 2 2 2" xfId="11109"/>
    <cellStyle name="输出 3 5 7 3" xfId="11110"/>
    <cellStyle name="输出 3 5 7 3 2" xfId="11111"/>
    <cellStyle name="输出 3 5 8" xfId="11112"/>
    <cellStyle name="输出 3 5 8 2" xfId="11113"/>
    <cellStyle name="输出 3 5 8 2 2" xfId="11114"/>
    <cellStyle name="输出 3 5 9" xfId="11115"/>
    <cellStyle name="输出 3 5 9 2" xfId="11116"/>
    <cellStyle name="输出 3 6" xfId="11117"/>
    <cellStyle name="输出 3 6 2" xfId="11118"/>
    <cellStyle name="输出 3 7" xfId="11119"/>
    <cellStyle name="输出 3 7 2" xfId="11120"/>
    <cellStyle name="输出 3 8" xfId="11121"/>
    <cellStyle name="输出 3 8 2" xfId="11122"/>
    <cellStyle name="输出 3 9" xfId="11123"/>
    <cellStyle name="输出 3 9 2" xfId="11124"/>
    <cellStyle name="输出 4" xfId="1309"/>
    <cellStyle name="输出 4 2" xfId="1691"/>
    <cellStyle name="输出 4 2 2" xfId="1695"/>
    <cellStyle name="输出 4 2 2 2" xfId="4917"/>
    <cellStyle name="输出 4 2 2 2 2" xfId="11125"/>
    <cellStyle name="输出 4 2 2 2 2 2" xfId="11126"/>
    <cellStyle name="输出 4 2 2 2 3" xfId="11127"/>
    <cellStyle name="输出 4 2 2 2 3 2" xfId="11128"/>
    <cellStyle name="输出 4 2 2 2 4" xfId="11129"/>
    <cellStyle name="输出 4 2 2 2 4 2" xfId="11130"/>
    <cellStyle name="输出 4 2 2 2 5" xfId="11131"/>
    <cellStyle name="输出 4 2 2 2 5 2" xfId="11132"/>
    <cellStyle name="输出 4 2 2 2 6" xfId="11133"/>
    <cellStyle name="输出 4 2 2 2 6 2" xfId="11134"/>
    <cellStyle name="输出 4 2 2 2 7" xfId="11135"/>
    <cellStyle name="输出 4 2 2 2 7 2" xfId="11136"/>
    <cellStyle name="输出 4 2 2 2 7 2 2" xfId="11137"/>
    <cellStyle name="输出 4 2 2 2 7 2 2 2" xfId="11138"/>
    <cellStyle name="输出 4 2 2 2 7 3" xfId="11139"/>
    <cellStyle name="输出 4 2 2 2 7 3 2" xfId="11140"/>
    <cellStyle name="输出 4 2 2 2 8" xfId="11141"/>
    <cellStyle name="输出 4 2 2 2 8 2" xfId="11142"/>
    <cellStyle name="输出 4 2 2 2 8 2 2" xfId="11143"/>
    <cellStyle name="输出 4 2 2 2 9" xfId="11144"/>
    <cellStyle name="输出 4 2 2 2 9 2" xfId="11145"/>
    <cellStyle name="输出 4 2 2 3" xfId="11146"/>
    <cellStyle name="输出 4 2 2 3 2" xfId="11147"/>
    <cellStyle name="输出 4 2 2 4" xfId="11148"/>
    <cellStyle name="输出 4 2 2 4 2" xfId="11149"/>
    <cellStyle name="输出 4 2 2 5" xfId="11150"/>
    <cellStyle name="输出 4 2 2 5 2" xfId="11151"/>
    <cellStyle name="输出 4 2 2 6" xfId="11152"/>
    <cellStyle name="输出 4 2 2 6 2" xfId="11153"/>
    <cellStyle name="输出 4 2 2 7" xfId="11154"/>
    <cellStyle name="输出 4 2 3" xfId="4916"/>
    <cellStyle name="输出 4 2 3 2" xfId="11155"/>
    <cellStyle name="输出 4 2 3 2 2" xfId="11156"/>
    <cellStyle name="输出 4 2 3 3" xfId="11157"/>
    <cellStyle name="输出 4 2 3 3 2" xfId="11158"/>
    <cellStyle name="输出 4 2 3 4" xfId="11159"/>
    <cellStyle name="输出 4 2 3 4 2" xfId="11160"/>
    <cellStyle name="输出 4 2 3 5" xfId="11161"/>
    <cellStyle name="输出 4 2 3 5 2" xfId="11162"/>
    <cellStyle name="输出 4 2 3 6" xfId="11163"/>
    <cellStyle name="输出 4 2 3 6 2" xfId="11164"/>
    <cellStyle name="输出 4 2 3 7" xfId="11165"/>
    <cellStyle name="输出 4 2 3 7 2" xfId="11166"/>
    <cellStyle name="输出 4 2 3 7 2 2" xfId="11167"/>
    <cellStyle name="输出 4 2 3 7 2 2 2" xfId="11168"/>
    <cellStyle name="输出 4 2 3 7 3" xfId="11169"/>
    <cellStyle name="输出 4 2 3 7 3 2" xfId="11170"/>
    <cellStyle name="输出 4 2 3 8" xfId="11171"/>
    <cellStyle name="输出 4 2 3 8 2" xfId="11172"/>
    <cellStyle name="输出 4 2 3 8 2 2" xfId="11173"/>
    <cellStyle name="输出 4 2 3 9" xfId="11174"/>
    <cellStyle name="输出 4 2 3 9 2" xfId="11175"/>
    <cellStyle name="输出 4 2 4" xfId="11176"/>
    <cellStyle name="输出 4 2 4 2" xfId="11177"/>
    <cellStyle name="输出 4 2 5" xfId="11178"/>
    <cellStyle name="输出 4 2 5 2" xfId="11179"/>
    <cellStyle name="输出 4 2 6" xfId="11180"/>
    <cellStyle name="输出 4 2 6 2" xfId="11181"/>
    <cellStyle name="输出 4 2 7" xfId="11182"/>
    <cellStyle name="输出 4 2 7 2" xfId="11183"/>
    <cellStyle name="输出 4 2 8" xfId="11184"/>
    <cellStyle name="输出 4 3" xfId="1729"/>
    <cellStyle name="输出 4 3 2" xfId="4918"/>
    <cellStyle name="输出 4 3 2 2" xfId="11185"/>
    <cellStyle name="输出 4 3 2 2 2" xfId="11186"/>
    <cellStyle name="输出 4 3 2 3" xfId="11187"/>
    <cellStyle name="输出 4 3 2 3 2" xfId="11188"/>
    <cellStyle name="输出 4 3 2 4" xfId="11189"/>
    <cellStyle name="输出 4 3 2 4 2" xfId="11190"/>
    <cellStyle name="输出 4 3 2 5" xfId="11191"/>
    <cellStyle name="输出 4 3 2 5 2" xfId="11192"/>
    <cellStyle name="输出 4 3 2 6" xfId="11193"/>
    <cellStyle name="输出 4 3 2 6 2" xfId="11194"/>
    <cellStyle name="输出 4 3 2 7" xfId="11195"/>
    <cellStyle name="输出 4 3 2 7 2" xfId="11196"/>
    <cellStyle name="输出 4 3 2 7 2 2" xfId="11197"/>
    <cellStyle name="输出 4 3 2 7 2 2 2" xfId="11198"/>
    <cellStyle name="输出 4 3 2 7 3" xfId="11199"/>
    <cellStyle name="输出 4 3 2 7 3 2" xfId="11200"/>
    <cellStyle name="输出 4 3 2 8" xfId="11201"/>
    <cellStyle name="输出 4 3 2 8 2" xfId="11202"/>
    <cellStyle name="输出 4 3 2 8 2 2" xfId="11203"/>
    <cellStyle name="输出 4 3 2 9" xfId="11204"/>
    <cellStyle name="输出 4 3 2 9 2" xfId="11205"/>
    <cellStyle name="输出 4 3 3" xfId="11206"/>
    <cellStyle name="输出 4 3 3 2" xfId="11207"/>
    <cellStyle name="输出 4 3 4" xfId="11208"/>
    <cellStyle name="输出 4 3 4 2" xfId="11209"/>
    <cellStyle name="输出 4 3 5" xfId="11210"/>
    <cellStyle name="输出 4 3 5 2" xfId="11211"/>
    <cellStyle name="输出 4 3 6" xfId="11212"/>
    <cellStyle name="输出 4 3 6 2" xfId="11213"/>
    <cellStyle name="输出 4 3 7" xfId="11214"/>
    <cellStyle name="输出 4 4" xfId="4915"/>
    <cellStyle name="输出 4 4 2" xfId="11215"/>
    <cellStyle name="输出 4 4 2 2" xfId="11216"/>
    <cellStyle name="输出 4 4 3" xfId="11217"/>
    <cellStyle name="输出 4 4 3 2" xfId="11218"/>
    <cellStyle name="输出 4 4 4" xfId="11219"/>
    <cellStyle name="输出 4 4 4 2" xfId="11220"/>
    <cellStyle name="输出 4 4 5" xfId="11221"/>
    <cellStyle name="输出 4 4 5 2" xfId="11222"/>
    <cellStyle name="输出 4 4 6" xfId="11223"/>
    <cellStyle name="输出 4 4 6 2" xfId="11224"/>
    <cellStyle name="输出 4 4 7" xfId="11225"/>
    <cellStyle name="输出 4 4 7 2" xfId="11226"/>
    <cellStyle name="输出 4 4 7 2 2" xfId="11227"/>
    <cellStyle name="输出 4 4 7 2 2 2" xfId="11228"/>
    <cellStyle name="输出 4 4 7 3" xfId="11229"/>
    <cellStyle name="输出 4 4 7 3 2" xfId="11230"/>
    <cellStyle name="输出 4 4 8" xfId="11231"/>
    <cellStyle name="输出 4 4 8 2" xfId="11232"/>
    <cellStyle name="输出 4 4 8 2 2" xfId="11233"/>
    <cellStyle name="输出 4 4 9" xfId="11234"/>
    <cellStyle name="输出 4 4 9 2" xfId="11235"/>
    <cellStyle name="输出 4 5" xfId="11236"/>
    <cellStyle name="输出 4 5 2" xfId="11237"/>
    <cellStyle name="输出 4 6" xfId="11238"/>
    <cellStyle name="输出 4 6 2" xfId="11239"/>
    <cellStyle name="输出 4 7" xfId="11240"/>
    <cellStyle name="输出 4 7 2" xfId="11241"/>
    <cellStyle name="输出 4 8" xfId="11242"/>
    <cellStyle name="输出 4 8 2" xfId="11243"/>
    <cellStyle name="输出 4 9" xfId="11244"/>
    <cellStyle name="输出 5" xfId="2208"/>
    <cellStyle name="输出 5 2" xfId="2346"/>
    <cellStyle name="输出 5 2 2" xfId="2347"/>
    <cellStyle name="输出 5 2 2 2" xfId="4921"/>
    <cellStyle name="输出 5 2 2 2 2" xfId="11245"/>
    <cellStyle name="输出 5 2 2 2 2 2" xfId="11246"/>
    <cellStyle name="输出 5 2 2 2 3" xfId="11247"/>
    <cellStyle name="输出 5 2 2 2 3 2" xfId="11248"/>
    <cellStyle name="输出 5 2 2 2 4" xfId="11249"/>
    <cellStyle name="输出 5 2 2 2 4 2" xfId="11250"/>
    <cellStyle name="输出 5 2 2 2 5" xfId="11251"/>
    <cellStyle name="输出 5 2 2 2 5 2" xfId="11252"/>
    <cellStyle name="输出 5 2 2 2 6" xfId="11253"/>
    <cellStyle name="输出 5 2 2 2 6 2" xfId="11254"/>
    <cellStyle name="输出 5 2 2 2 7" xfId="11255"/>
    <cellStyle name="输出 5 2 2 2 7 2" xfId="11256"/>
    <cellStyle name="输出 5 2 2 2 7 2 2" xfId="11257"/>
    <cellStyle name="输出 5 2 2 2 7 2 2 2" xfId="11258"/>
    <cellStyle name="输出 5 2 2 2 7 3" xfId="11259"/>
    <cellStyle name="输出 5 2 2 2 7 3 2" xfId="11260"/>
    <cellStyle name="输出 5 2 2 2 8" xfId="11261"/>
    <cellStyle name="输出 5 2 2 2 8 2" xfId="11262"/>
    <cellStyle name="输出 5 2 2 2 8 2 2" xfId="11263"/>
    <cellStyle name="输出 5 2 2 2 9" xfId="11264"/>
    <cellStyle name="输出 5 2 2 2 9 2" xfId="11265"/>
    <cellStyle name="输出 5 2 2 3" xfId="11266"/>
    <cellStyle name="输出 5 2 2 3 2" xfId="11267"/>
    <cellStyle name="输出 5 2 2 4" xfId="11268"/>
    <cellStyle name="输出 5 2 2 4 2" xfId="11269"/>
    <cellStyle name="输出 5 2 2 5" xfId="11270"/>
    <cellStyle name="输出 5 2 2 5 2" xfId="11271"/>
    <cellStyle name="输出 5 2 2 6" xfId="11272"/>
    <cellStyle name="输出 5 2 2 6 2" xfId="11273"/>
    <cellStyle name="输出 5 2 2 7" xfId="11274"/>
    <cellStyle name="输出 5 2 3" xfId="4920"/>
    <cellStyle name="输出 5 2 3 2" xfId="11275"/>
    <cellStyle name="输出 5 2 3 2 2" xfId="11276"/>
    <cellStyle name="输出 5 2 3 3" xfId="11277"/>
    <cellStyle name="输出 5 2 3 3 2" xfId="11278"/>
    <cellStyle name="输出 5 2 3 4" xfId="11279"/>
    <cellStyle name="输出 5 2 3 4 2" xfId="11280"/>
    <cellStyle name="输出 5 2 3 5" xfId="11281"/>
    <cellStyle name="输出 5 2 3 5 2" xfId="11282"/>
    <cellStyle name="输出 5 2 3 6" xfId="11283"/>
    <cellStyle name="输出 5 2 3 6 2" xfId="11284"/>
    <cellStyle name="输出 5 2 3 7" xfId="11285"/>
    <cellStyle name="输出 5 2 3 7 2" xfId="11286"/>
    <cellStyle name="输出 5 2 3 7 2 2" xfId="11287"/>
    <cellStyle name="输出 5 2 3 7 2 2 2" xfId="11288"/>
    <cellStyle name="输出 5 2 3 7 3" xfId="11289"/>
    <cellStyle name="输出 5 2 3 7 3 2" xfId="11290"/>
    <cellStyle name="输出 5 2 3 8" xfId="11291"/>
    <cellStyle name="输出 5 2 3 8 2" xfId="11292"/>
    <cellStyle name="输出 5 2 3 8 2 2" xfId="11293"/>
    <cellStyle name="输出 5 2 3 9" xfId="11294"/>
    <cellStyle name="输出 5 2 3 9 2" xfId="11295"/>
    <cellStyle name="输出 5 2 4" xfId="11296"/>
    <cellStyle name="输出 5 2 4 2" xfId="11297"/>
    <cellStyle name="输出 5 2 5" xfId="11298"/>
    <cellStyle name="输出 5 2 5 2" xfId="11299"/>
    <cellStyle name="输出 5 2 6" xfId="11300"/>
    <cellStyle name="输出 5 2 6 2" xfId="11301"/>
    <cellStyle name="输出 5 2 7" xfId="11302"/>
    <cellStyle name="输出 5 2 7 2" xfId="11303"/>
    <cellStyle name="输出 5 2 8" xfId="11304"/>
    <cellStyle name="输出 5 3" xfId="2348"/>
    <cellStyle name="输出 5 3 2" xfId="4922"/>
    <cellStyle name="输出 5 3 2 2" xfId="11305"/>
    <cellStyle name="输出 5 3 2 2 2" xfId="11306"/>
    <cellStyle name="输出 5 3 2 3" xfId="11307"/>
    <cellStyle name="输出 5 3 2 3 2" xfId="11308"/>
    <cellStyle name="输出 5 3 2 4" xfId="11309"/>
    <cellStyle name="输出 5 3 2 4 2" xfId="11310"/>
    <cellStyle name="输出 5 3 2 5" xfId="11311"/>
    <cellStyle name="输出 5 3 2 5 2" xfId="11312"/>
    <cellStyle name="输出 5 3 2 6" xfId="11313"/>
    <cellStyle name="输出 5 3 2 6 2" xfId="11314"/>
    <cellStyle name="输出 5 3 2 7" xfId="11315"/>
    <cellStyle name="输出 5 3 2 7 2" xfId="11316"/>
    <cellStyle name="输出 5 3 2 7 2 2" xfId="11317"/>
    <cellStyle name="输出 5 3 2 7 2 2 2" xfId="11318"/>
    <cellStyle name="输出 5 3 2 7 3" xfId="11319"/>
    <cellStyle name="输出 5 3 2 7 3 2" xfId="11320"/>
    <cellStyle name="输出 5 3 2 8" xfId="11321"/>
    <cellStyle name="输出 5 3 2 8 2" xfId="11322"/>
    <cellStyle name="输出 5 3 2 8 2 2" xfId="11323"/>
    <cellStyle name="输出 5 3 2 9" xfId="11324"/>
    <cellStyle name="输出 5 3 2 9 2" xfId="11325"/>
    <cellStyle name="输出 5 3 3" xfId="11326"/>
    <cellStyle name="输出 5 3 3 2" xfId="11327"/>
    <cellStyle name="输出 5 3 4" xfId="11328"/>
    <cellStyle name="输出 5 3 4 2" xfId="11329"/>
    <cellStyle name="输出 5 3 5" xfId="11330"/>
    <cellStyle name="输出 5 3 5 2" xfId="11331"/>
    <cellStyle name="输出 5 3 6" xfId="11332"/>
    <cellStyle name="输出 5 3 6 2" xfId="11333"/>
    <cellStyle name="输出 5 3 7" xfId="11334"/>
    <cellStyle name="输出 5 4" xfId="4919"/>
    <cellStyle name="输出 5 4 2" xfId="11335"/>
    <cellStyle name="输出 5 4 2 2" xfId="11336"/>
    <cellStyle name="输出 5 4 3" xfId="11337"/>
    <cellStyle name="输出 5 4 3 2" xfId="11338"/>
    <cellStyle name="输出 5 4 4" xfId="11339"/>
    <cellStyle name="输出 5 4 4 2" xfId="11340"/>
    <cellStyle name="输出 5 4 5" xfId="11341"/>
    <cellStyle name="输出 5 4 5 2" xfId="11342"/>
    <cellStyle name="输出 5 4 6" xfId="11343"/>
    <cellStyle name="输出 5 4 6 2" xfId="11344"/>
    <cellStyle name="输出 5 4 7" xfId="11345"/>
    <cellStyle name="输出 5 4 7 2" xfId="11346"/>
    <cellStyle name="输出 5 4 7 2 2" xfId="11347"/>
    <cellStyle name="输出 5 4 7 2 2 2" xfId="11348"/>
    <cellStyle name="输出 5 4 7 3" xfId="11349"/>
    <cellStyle name="输出 5 4 7 3 2" xfId="11350"/>
    <cellStyle name="输出 5 4 8" xfId="11351"/>
    <cellStyle name="输出 5 4 8 2" xfId="11352"/>
    <cellStyle name="输出 5 4 8 2 2" xfId="11353"/>
    <cellStyle name="输出 5 4 9" xfId="11354"/>
    <cellStyle name="输出 5 4 9 2" xfId="11355"/>
    <cellStyle name="输出 5 5" xfId="11356"/>
    <cellStyle name="输出 5 5 2" xfId="11357"/>
    <cellStyle name="输出 5 6" xfId="11358"/>
    <cellStyle name="输出 5 6 2" xfId="11359"/>
    <cellStyle name="输出 5 7" xfId="11360"/>
    <cellStyle name="输出 5 7 2" xfId="11361"/>
    <cellStyle name="输出 5 8" xfId="11362"/>
    <cellStyle name="输出 5 8 2" xfId="11363"/>
    <cellStyle name="输出 5 9" xfId="11364"/>
    <cellStyle name="输出 6" xfId="1417"/>
    <cellStyle name="输出 6 2" xfId="2263"/>
    <cellStyle name="输出 6 2 2" xfId="4924"/>
    <cellStyle name="输出 6 2 2 2" xfId="11365"/>
    <cellStyle name="输出 6 2 2 2 2" xfId="11366"/>
    <cellStyle name="输出 6 2 2 3" xfId="11367"/>
    <cellStyle name="输出 6 2 2 3 2" xfId="11368"/>
    <cellStyle name="输出 6 2 2 4" xfId="11369"/>
    <cellStyle name="输出 6 2 2 4 2" xfId="11370"/>
    <cellStyle name="输出 6 2 2 5" xfId="11371"/>
    <cellStyle name="输出 6 2 2 5 2" xfId="11372"/>
    <cellStyle name="输出 6 2 2 6" xfId="11373"/>
    <cellStyle name="输出 6 2 2 6 2" xfId="11374"/>
    <cellStyle name="输出 6 2 2 7" xfId="11375"/>
    <cellStyle name="输出 6 2 2 7 2" xfId="11376"/>
    <cellStyle name="输出 6 2 2 7 2 2" xfId="11377"/>
    <cellStyle name="输出 6 2 2 7 2 2 2" xfId="11378"/>
    <cellStyle name="输出 6 2 2 7 3" xfId="11379"/>
    <cellStyle name="输出 6 2 2 7 3 2" xfId="11380"/>
    <cellStyle name="输出 6 2 2 8" xfId="11381"/>
    <cellStyle name="输出 6 2 2 8 2" xfId="11382"/>
    <cellStyle name="输出 6 2 2 8 2 2" xfId="11383"/>
    <cellStyle name="输出 6 2 2 9" xfId="11384"/>
    <cellStyle name="输出 6 2 2 9 2" xfId="11385"/>
    <cellStyle name="输出 6 2 3" xfId="11386"/>
    <cellStyle name="输出 6 2 3 2" xfId="11387"/>
    <cellStyle name="输出 6 2 4" xfId="11388"/>
    <cellStyle name="输出 6 2 4 2" xfId="11389"/>
    <cellStyle name="输出 6 2 5" xfId="11390"/>
    <cellStyle name="输出 6 2 5 2" xfId="11391"/>
    <cellStyle name="输出 6 2 6" xfId="11392"/>
    <cellStyle name="输出 6 2 6 2" xfId="11393"/>
    <cellStyle name="输出 6 2 7" xfId="11394"/>
    <cellStyle name="输出 6 3" xfId="4923"/>
    <cellStyle name="输出 6 3 2" xfId="11395"/>
    <cellStyle name="输出 6 3 2 2" xfId="11396"/>
    <cellStyle name="输出 6 3 3" xfId="11397"/>
    <cellStyle name="输出 6 3 3 2" xfId="11398"/>
    <cellStyle name="输出 6 3 4" xfId="11399"/>
    <cellStyle name="输出 6 3 4 2" xfId="11400"/>
    <cellStyle name="输出 6 3 5" xfId="11401"/>
    <cellStyle name="输出 6 3 5 2" xfId="11402"/>
    <cellStyle name="输出 6 3 6" xfId="11403"/>
    <cellStyle name="输出 6 3 6 2" xfId="11404"/>
    <cellStyle name="输出 6 3 7" xfId="11405"/>
    <cellStyle name="输出 6 3 7 2" xfId="11406"/>
    <cellStyle name="输出 6 3 7 2 2" xfId="11407"/>
    <cellStyle name="输出 6 3 7 2 2 2" xfId="11408"/>
    <cellStyle name="输出 6 3 7 3" xfId="11409"/>
    <cellStyle name="输出 6 3 7 3 2" xfId="11410"/>
    <cellStyle name="输出 6 3 8" xfId="11411"/>
    <cellStyle name="输出 6 3 8 2" xfId="11412"/>
    <cellStyle name="输出 6 3 8 2 2" xfId="11413"/>
    <cellStyle name="输出 6 3 9" xfId="11414"/>
    <cellStyle name="输出 6 3 9 2" xfId="11415"/>
    <cellStyle name="输出 6 4" xfId="11416"/>
    <cellStyle name="输出 6 4 2" xfId="11417"/>
    <cellStyle name="输出 6 5" xfId="11418"/>
    <cellStyle name="输出 6 5 2" xfId="11419"/>
    <cellStyle name="输出 6 6" xfId="11420"/>
    <cellStyle name="输出 6 6 2" xfId="11421"/>
    <cellStyle name="输出 6 7" xfId="11422"/>
    <cellStyle name="输出 6 7 2" xfId="11423"/>
    <cellStyle name="输出 6 8" xfId="11424"/>
    <cellStyle name="输出 7" xfId="2161"/>
    <cellStyle name="输出 7 2" xfId="4925"/>
    <cellStyle name="输出 7 2 2" xfId="11425"/>
    <cellStyle name="输出 7 2 2 2" xfId="11426"/>
    <cellStyle name="输出 7 2 3" xfId="11427"/>
    <cellStyle name="输出 7 2 3 2" xfId="11428"/>
    <cellStyle name="输出 7 2 4" xfId="11429"/>
    <cellStyle name="输出 7 2 4 2" xfId="11430"/>
    <cellStyle name="输出 7 2 5" xfId="11431"/>
    <cellStyle name="输出 7 2 5 2" xfId="11432"/>
    <cellStyle name="输出 7 2 6" xfId="11433"/>
    <cellStyle name="输出 7 2 6 2" xfId="11434"/>
    <cellStyle name="输出 7 2 7" xfId="11435"/>
    <cellStyle name="输出 7 2 7 2" xfId="11436"/>
    <cellStyle name="输出 7 2 7 2 2" xfId="11437"/>
    <cellStyle name="输出 7 2 7 2 2 2" xfId="11438"/>
    <cellStyle name="输出 7 2 7 3" xfId="11439"/>
    <cellStyle name="输出 7 2 7 3 2" xfId="11440"/>
    <cellStyle name="输出 7 2 8" xfId="11441"/>
    <cellStyle name="输出 7 2 8 2" xfId="11442"/>
    <cellStyle name="输出 7 2 8 2 2" xfId="11443"/>
    <cellStyle name="输出 7 2 9" xfId="11444"/>
    <cellStyle name="输出 7 2 9 2" xfId="11445"/>
    <cellStyle name="输出 7 3" xfId="11446"/>
    <cellStyle name="输出 7 3 2" xfId="11447"/>
    <cellStyle name="输出 7 4" xfId="11448"/>
    <cellStyle name="输出 7 4 2" xfId="11449"/>
    <cellStyle name="输出 7 5" xfId="11450"/>
    <cellStyle name="输出 7 5 2" xfId="11451"/>
    <cellStyle name="输出 7 6" xfId="11452"/>
    <cellStyle name="输出 7 6 2" xfId="11453"/>
    <cellStyle name="输出 7 7" xfId="11454"/>
    <cellStyle name="输出 8" xfId="2777"/>
    <cellStyle name="输出 8 2" xfId="11455"/>
    <cellStyle name="输出 8 2 2" xfId="11456"/>
    <cellStyle name="输出 8 3" xfId="11457"/>
    <cellStyle name="输出 8 3 2" xfId="11458"/>
    <cellStyle name="输出 8 4" xfId="11459"/>
    <cellStyle name="输出 8 4 2" xfId="11460"/>
    <cellStyle name="输出 8 5" xfId="11461"/>
    <cellStyle name="输出 8 5 2" xfId="11462"/>
    <cellStyle name="输出 8 6" xfId="11463"/>
    <cellStyle name="输出 8 6 2" xfId="11464"/>
    <cellStyle name="输出 8 7" xfId="11465"/>
    <cellStyle name="输出 8 7 2" xfId="11466"/>
    <cellStyle name="输出 8 7 2 2" xfId="11467"/>
    <cellStyle name="输出 8 7 2 2 2" xfId="11468"/>
    <cellStyle name="输出 8 7 3" xfId="11469"/>
    <cellStyle name="输出 8 7 3 2" xfId="11470"/>
    <cellStyle name="输出 8 8" xfId="11471"/>
    <cellStyle name="输出 8 8 2" xfId="11472"/>
    <cellStyle name="输出 8 8 2 2" xfId="11473"/>
    <cellStyle name="输出 8 9" xfId="11474"/>
    <cellStyle name="输出 8 9 2" xfId="11475"/>
    <cellStyle name="输出 9" xfId="4898"/>
    <cellStyle name="输出 9 2" xfId="11476"/>
    <cellStyle name="输出 9 2 2" xfId="11477"/>
    <cellStyle name="输出 9 3" xfId="11478"/>
    <cellStyle name="输出 9 3 2" xfId="11479"/>
    <cellStyle name="输出 9 4" xfId="11480"/>
    <cellStyle name="输出 9 4 2" xfId="11481"/>
    <cellStyle name="输出 9 5" xfId="11482"/>
    <cellStyle name="输出 9 5 2" xfId="11483"/>
    <cellStyle name="输出 9 6" xfId="11484"/>
    <cellStyle name="输出 9 6 2" xfId="11485"/>
    <cellStyle name="输出 9 7" xfId="11486"/>
    <cellStyle name="输出 9 7 2" xfId="11487"/>
    <cellStyle name="输出 9 7 2 2" xfId="11488"/>
    <cellStyle name="输出 9 7 2 2 2" xfId="11489"/>
    <cellStyle name="输出 9 7 3" xfId="11490"/>
    <cellStyle name="输出 9 7 3 2" xfId="11491"/>
    <cellStyle name="输出 9 8" xfId="11492"/>
    <cellStyle name="输出 9 8 2" xfId="11493"/>
    <cellStyle name="输出 9 8 2 2" xfId="11494"/>
    <cellStyle name="输出 9 9" xfId="11495"/>
    <cellStyle name="输出 9 9 2" xfId="11496"/>
    <cellStyle name="输入" xfId="2215"/>
    <cellStyle name="输入 2" xfId="1683"/>
    <cellStyle name="输入 2 10" xfId="11497"/>
    <cellStyle name="输入 2 10 2" xfId="11498"/>
    <cellStyle name="输入 2 2" xfId="2217"/>
    <cellStyle name="输入 2 2 2" xfId="2349"/>
    <cellStyle name="输入 2 2 2 2" xfId="2350"/>
    <cellStyle name="输入 2 2 2 2 2" xfId="4926"/>
    <cellStyle name="输入 2 2 2 2 2 2" xfId="11499"/>
    <cellStyle name="输入 2 2 2 2 2 2 2" xfId="11500"/>
    <cellStyle name="输入 2 2 2 2 2 3" xfId="11501"/>
    <cellStyle name="输入 2 2 2 2 2 3 2" xfId="11502"/>
    <cellStyle name="输入 2 2 2 2 2 4" xfId="11503"/>
    <cellStyle name="输入 2 2 2 2 2 4 2" xfId="11504"/>
    <cellStyle name="输入 2 2 2 2 2 5" xfId="11505"/>
    <cellStyle name="输入 2 2 2 2 2 5 2" xfId="11506"/>
    <cellStyle name="输入 2 2 2 2 2 6" xfId="11507"/>
    <cellStyle name="输入 2 2 2 2 2 6 2" xfId="11508"/>
    <cellStyle name="输入 2 2 2 2 2 7" xfId="11509"/>
    <cellStyle name="输入 2 2 2 2 2 7 2" xfId="11510"/>
    <cellStyle name="输入 2 2 2 2 2 7 2 2" xfId="11511"/>
    <cellStyle name="输入 2 2 2 2 2 7 2 2 2" xfId="11512"/>
    <cellStyle name="输入 2 2 2 2 2 7 3" xfId="11513"/>
    <cellStyle name="输入 2 2 2 2 2 7 3 2" xfId="11514"/>
    <cellStyle name="输入 2 2 2 2 2 8" xfId="11515"/>
    <cellStyle name="输入 2 2 2 2 2 8 2" xfId="11516"/>
    <cellStyle name="输入 2 2 2 2 3" xfId="11517"/>
    <cellStyle name="输入 2 2 2 2 3 2" xfId="11518"/>
    <cellStyle name="输入 2 2 2 2 4" xfId="11519"/>
    <cellStyle name="输入 2 2 2 2 4 2" xfId="11520"/>
    <cellStyle name="输入 2 2 2 2 5" xfId="11521"/>
    <cellStyle name="输入 2 2 2 2 5 2" xfId="11522"/>
    <cellStyle name="输入 2 2 2 2 6" xfId="11523"/>
    <cellStyle name="输入 2 2 2 2 6 2" xfId="11524"/>
    <cellStyle name="输入 2 2 2 2 7" xfId="11525"/>
    <cellStyle name="输入 2 2 2 2 7 2" xfId="11526"/>
    <cellStyle name="输入 2 2 2 3" xfId="2787"/>
    <cellStyle name="输入 2 2 2 3 2" xfId="11527"/>
    <cellStyle name="输入 2 2 2 3 2 2" xfId="11528"/>
    <cellStyle name="输入 2 2 2 3 3" xfId="11529"/>
    <cellStyle name="输入 2 2 2 3 3 2" xfId="11530"/>
    <cellStyle name="输入 2 2 2 3 4" xfId="11531"/>
    <cellStyle name="输入 2 2 2 3 4 2" xfId="11532"/>
    <cellStyle name="输入 2 2 2 3 5" xfId="11533"/>
    <cellStyle name="输入 2 2 2 3 5 2" xfId="11534"/>
    <cellStyle name="输入 2 2 2 3 6" xfId="11535"/>
    <cellStyle name="输入 2 2 2 3 6 2" xfId="11536"/>
    <cellStyle name="输入 2 2 2 3 7" xfId="11537"/>
    <cellStyle name="输入 2 2 2 3 7 2" xfId="11538"/>
    <cellStyle name="输入 2 2 2 3 7 2 2" xfId="11539"/>
    <cellStyle name="输入 2 2 2 3 7 2 2 2" xfId="11540"/>
    <cellStyle name="输入 2 2 2 3 7 3" xfId="11541"/>
    <cellStyle name="输入 2 2 2 3 7 3 2" xfId="11542"/>
    <cellStyle name="输入 2 2 2 3 8" xfId="11543"/>
    <cellStyle name="输入 2 2 2 3 8 2" xfId="11544"/>
    <cellStyle name="输入 2 2 2 4" xfId="11545"/>
    <cellStyle name="输入 2 2 2 4 2" xfId="11546"/>
    <cellStyle name="输入 2 2 2 5" xfId="11547"/>
    <cellStyle name="输入 2 2 2 5 2" xfId="11548"/>
    <cellStyle name="输入 2 2 2 6" xfId="11549"/>
    <cellStyle name="输入 2 2 2 6 2" xfId="11550"/>
    <cellStyle name="输入 2 2 2 7" xfId="11551"/>
    <cellStyle name="输入 2 2 2 7 2" xfId="11552"/>
    <cellStyle name="输入 2 2 2 8" xfId="11553"/>
    <cellStyle name="输入 2 2 2 8 2" xfId="11554"/>
    <cellStyle name="输入 2 2 3" xfId="2351"/>
    <cellStyle name="输入 2 2 3 2" xfId="2788"/>
    <cellStyle name="输入 2 2 3 2 2" xfId="11555"/>
    <cellStyle name="输入 2 2 3 2 2 2" xfId="11556"/>
    <cellStyle name="输入 2 2 3 2 3" xfId="11557"/>
    <cellStyle name="输入 2 2 3 2 3 2" xfId="11558"/>
    <cellStyle name="输入 2 2 3 2 4" xfId="11559"/>
    <cellStyle name="输入 2 2 3 2 4 2" xfId="11560"/>
    <cellStyle name="输入 2 2 3 2 5" xfId="11561"/>
    <cellStyle name="输入 2 2 3 2 5 2" xfId="11562"/>
    <cellStyle name="输入 2 2 3 2 6" xfId="11563"/>
    <cellStyle name="输入 2 2 3 2 6 2" xfId="11564"/>
    <cellStyle name="输入 2 2 3 2 7" xfId="11565"/>
    <cellStyle name="输入 2 2 3 2 7 2" xfId="11566"/>
    <cellStyle name="输入 2 2 3 2 7 2 2" xfId="11567"/>
    <cellStyle name="输入 2 2 3 2 7 2 2 2" xfId="11568"/>
    <cellStyle name="输入 2 2 3 2 7 3" xfId="11569"/>
    <cellStyle name="输入 2 2 3 2 7 3 2" xfId="11570"/>
    <cellStyle name="输入 2 2 3 2 8" xfId="11571"/>
    <cellStyle name="输入 2 2 3 2 8 2" xfId="11572"/>
    <cellStyle name="输入 2 2 3 3" xfId="11573"/>
    <cellStyle name="输入 2 2 3 3 2" xfId="11574"/>
    <cellStyle name="输入 2 2 3 4" xfId="11575"/>
    <cellStyle name="输入 2 2 3 4 2" xfId="11576"/>
    <cellStyle name="输入 2 2 3 5" xfId="11577"/>
    <cellStyle name="输入 2 2 3 5 2" xfId="11578"/>
    <cellStyle name="输入 2 2 3 6" xfId="11579"/>
    <cellStyle name="输入 2 2 3 6 2" xfId="11580"/>
    <cellStyle name="输入 2 2 3 7" xfId="11581"/>
    <cellStyle name="输入 2 2 3 7 2" xfId="11582"/>
    <cellStyle name="输入 2 2 4" xfId="2786"/>
    <cellStyle name="输入 2 2 4 2" xfId="11583"/>
    <cellStyle name="输入 2 2 4 2 2" xfId="11584"/>
    <cellStyle name="输入 2 2 4 3" xfId="11585"/>
    <cellStyle name="输入 2 2 4 3 2" xfId="11586"/>
    <cellStyle name="输入 2 2 4 4" xfId="11587"/>
    <cellStyle name="输入 2 2 4 4 2" xfId="11588"/>
    <cellStyle name="输入 2 2 4 5" xfId="11589"/>
    <cellStyle name="输入 2 2 4 5 2" xfId="11590"/>
    <cellStyle name="输入 2 2 4 6" xfId="11591"/>
    <cellStyle name="输入 2 2 4 6 2" xfId="11592"/>
    <cellStyle name="输入 2 2 4 7" xfId="11593"/>
    <cellStyle name="输入 2 2 4 7 2" xfId="11594"/>
    <cellStyle name="输入 2 2 4 7 2 2" xfId="11595"/>
    <cellStyle name="输入 2 2 4 7 2 2 2" xfId="11596"/>
    <cellStyle name="输入 2 2 4 7 3" xfId="11597"/>
    <cellStyle name="输入 2 2 4 7 3 2" xfId="11598"/>
    <cellStyle name="输入 2 2 4 8" xfId="11599"/>
    <cellStyle name="输入 2 2 4 8 2" xfId="11600"/>
    <cellStyle name="输入 2 2 5" xfId="11601"/>
    <cellStyle name="输入 2 2 5 2" xfId="11602"/>
    <cellStyle name="输入 2 2 6" xfId="11603"/>
    <cellStyle name="输入 2 2 6 2" xfId="11604"/>
    <cellStyle name="输入 2 2 7" xfId="11605"/>
    <cellStyle name="输入 2 2 7 2" xfId="11606"/>
    <cellStyle name="输入 2 2 8" xfId="11607"/>
    <cellStyle name="输入 2 2 8 2" xfId="11608"/>
    <cellStyle name="输入 2 2 9" xfId="11609"/>
    <cellStyle name="输入 2 2 9 2" xfId="11610"/>
    <cellStyle name="输入 2 3" xfId="2352"/>
    <cellStyle name="输入 2 3 2" xfId="2353"/>
    <cellStyle name="输入 2 3 2 2" xfId="4927"/>
    <cellStyle name="输入 2 3 2 2 2" xfId="11611"/>
    <cellStyle name="输入 2 3 2 2 2 2" xfId="11612"/>
    <cellStyle name="输入 2 3 2 2 3" xfId="11613"/>
    <cellStyle name="输入 2 3 2 2 3 2" xfId="11614"/>
    <cellStyle name="输入 2 3 2 2 4" xfId="11615"/>
    <cellStyle name="输入 2 3 2 2 4 2" xfId="11616"/>
    <cellStyle name="输入 2 3 2 2 5" xfId="11617"/>
    <cellStyle name="输入 2 3 2 2 5 2" xfId="11618"/>
    <cellStyle name="输入 2 3 2 2 6" xfId="11619"/>
    <cellStyle name="输入 2 3 2 2 6 2" xfId="11620"/>
    <cellStyle name="输入 2 3 2 2 7" xfId="11621"/>
    <cellStyle name="输入 2 3 2 2 7 2" xfId="11622"/>
    <cellStyle name="输入 2 3 2 2 7 2 2" xfId="11623"/>
    <cellStyle name="输入 2 3 2 2 7 2 2 2" xfId="11624"/>
    <cellStyle name="输入 2 3 2 2 7 3" xfId="11625"/>
    <cellStyle name="输入 2 3 2 2 7 3 2" xfId="11626"/>
    <cellStyle name="输入 2 3 2 2 8" xfId="11627"/>
    <cellStyle name="输入 2 3 2 2 8 2" xfId="11628"/>
    <cellStyle name="输入 2 3 2 3" xfId="11629"/>
    <cellStyle name="输入 2 3 2 3 2" xfId="11630"/>
    <cellStyle name="输入 2 3 2 4" xfId="11631"/>
    <cellStyle name="输入 2 3 2 4 2" xfId="11632"/>
    <cellStyle name="输入 2 3 2 5" xfId="11633"/>
    <cellStyle name="输入 2 3 2 5 2" xfId="11634"/>
    <cellStyle name="输入 2 3 2 6" xfId="11635"/>
    <cellStyle name="输入 2 3 2 6 2" xfId="11636"/>
    <cellStyle name="输入 2 3 2 7" xfId="11637"/>
    <cellStyle name="输入 2 3 2 7 2" xfId="11638"/>
    <cellStyle name="输入 2 3 3" xfId="2789"/>
    <cellStyle name="输入 2 3 3 2" xfId="11639"/>
    <cellStyle name="输入 2 3 3 2 2" xfId="11640"/>
    <cellStyle name="输入 2 3 3 3" xfId="11641"/>
    <cellStyle name="输入 2 3 3 3 2" xfId="11642"/>
    <cellStyle name="输入 2 3 3 4" xfId="11643"/>
    <cellStyle name="输入 2 3 3 4 2" xfId="11644"/>
    <cellStyle name="输入 2 3 3 5" xfId="11645"/>
    <cellStyle name="输入 2 3 3 5 2" xfId="11646"/>
    <cellStyle name="输入 2 3 3 6" xfId="11647"/>
    <cellStyle name="输入 2 3 3 6 2" xfId="11648"/>
    <cellStyle name="输入 2 3 3 7" xfId="11649"/>
    <cellStyle name="输入 2 3 3 7 2" xfId="11650"/>
    <cellStyle name="输入 2 3 3 7 2 2" xfId="11651"/>
    <cellStyle name="输入 2 3 3 7 2 2 2" xfId="11652"/>
    <cellStyle name="输入 2 3 3 7 3" xfId="11653"/>
    <cellStyle name="输入 2 3 3 7 3 2" xfId="11654"/>
    <cellStyle name="输入 2 3 3 8" xfId="11655"/>
    <cellStyle name="输入 2 3 3 8 2" xfId="11656"/>
    <cellStyle name="输入 2 3 4" xfId="11657"/>
    <cellStyle name="输入 2 3 4 2" xfId="11658"/>
    <cellStyle name="输入 2 3 5" xfId="11659"/>
    <cellStyle name="输入 2 3 5 2" xfId="11660"/>
    <cellStyle name="输入 2 3 6" xfId="11661"/>
    <cellStyle name="输入 2 3 6 2" xfId="11662"/>
    <cellStyle name="输入 2 3 7" xfId="11663"/>
    <cellStyle name="输入 2 3 7 2" xfId="11664"/>
    <cellStyle name="输入 2 3 8" xfId="11665"/>
    <cellStyle name="输入 2 3 8 2" xfId="11666"/>
    <cellStyle name="输入 2 4" xfId="2354"/>
    <cellStyle name="输入 2 4 2" xfId="4928"/>
    <cellStyle name="输入 2 4 2 2" xfId="11667"/>
    <cellStyle name="输入 2 4 2 2 2" xfId="11668"/>
    <cellStyle name="输入 2 4 2 3" xfId="11669"/>
    <cellStyle name="输入 2 4 2 3 2" xfId="11670"/>
    <cellStyle name="输入 2 4 2 4" xfId="11671"/>
    <cellStyle name="输入 2 4 2 4 2" xfId="11672"/>
    <cellStyle name="输入 2 4 2 5" xfId="11673"/>
    <cellStyle name="输入 2 4 2 5 2" xfId="11674"/>
    <cellStyle name="输入 2 4 2 6" xfId="11675"/>
    <cellStyle name="输入 2 4 2 6 2" xfId="11676"/>
    <cellStyle name="输入 2 4 2 7" xfId="11677"/>
    <cellStyle name="输入 2 4 2 7 2" xfId="11678"/>
    <cellStyle name="输入 2 4 2 7 2 2" xfId="11679"/>
    <cellStyle name="输入 2 4 2 7 2 2 2" xfId="11680"/>
    <cellStyle name="输入 2 4 2 7 3" xfId="11681"/>
    <cellStyle name="输入 2 4 2 7 3 2" xfId="11682"/>
    <cellStyle name="输入 2 4 2 8" xfId="11683"/>
    <cellStyle name="输入 2 4 2 8 2" xfId="11684"/>
    <cellStyle name="输入 2 4 3" xfId="11685"/>
    <cellStyle name="输入 2 4 3 2" xfId="11686"/>
    <cellStyle name="输入 2 4 4" xfId="11687"/>
    <cellStyle name="输入 2 4 4 2" xfId="11688"/>
    <cellStyle name="输入 2 4 5" xfId="11689"/>
    <cellStyle name="输入 2 4 5 2" xfId="11690"/>
    <cellStyle name="输入 2 4 6" xfId="11691"/>
    <cellStyle name="输入 2 4 6 2" xfId="11692"/>
    <cellStyle name="输入 2 4 7" xfId="11693"/>
    <cellStyle name="输入 2 4 7 2" xfId="11694"/>
    <cellStyle name="输入 2 5" xfId="2785"/>
    <cellStyle name="输入 2 5 2" xfId="11695"/>
    <cellStyle name="输入 2 5 2 2" xfId="11696"/>
    <cellStyle name="输入 2 5 3" xfId="11697"/>
    <cellStyle name="输入 2 5 3 2" xfId="11698"/>
    <cellStyle name="输入 2 5 4" xfId="11699"/>
    <cellStyle name="输入 2 5 4 2" xfId="11700"/>
    <cellStyle name="输入 2 5 5" xfId="11701"/>
    <cellStyle name="输入 2 5 5 2" xfId="11702"/>
    <cellStyle name="输入 2 5 6" xfId="11703"/>
    <cellStyle name="输入 2 5 6 2" xfId="11704"/>
    <cellStyle name="输入 2 5 7" xfId="11705"/>
    <cellStyle name="输入 2 5 7 2" xfId="11706"/>
    <cellStyle name="输入 2 5 7 2 2" xfId="11707"/>
    <cellStyle name="输入 2 5 7 2 2 2" xfId="11708"/>
    <cellStyle name="输入 2 5 7 3" xfId="11709"/>
    <cellStyle name="输入 2 5 7 3 2" xfId="11710"/>
    <cellStyle name="输入 2 5 8" xfId="11711"/>
    <cellStyle name="输入 2 5 8 2" xfId="11712"/>
    <cellStyle name="输入 2 6" xfId="11713"/>
    <cellStyle name="输入 2 6 2" xfId="11714"/>
    <cellStyle name="输入 2 7" xfId="11715"/>
    <cellStyle name="输入 2 7 2" xfId="11716"/>
    <cellStyle name="输入 2 8" xfId="11717"/>
    <cellStyle name="输入 2 8 2" xfId="11718"/>
    <cellStyle name="输入 2 9" xfId="11719"/>
    <cellStyle name="输入 2 9 2" xfId="11720"/>
    <cellStyle name="输入 3" xfId="534"/>
    <cellStyle name="输入 3 10" xfId="11721"/>
    <cellStyle name="输入 3 10 2" xfId="11722"/>
    <cellStyle name="输入 3 2" xfId="2355"/>
    <cellStyle name="输入 3 2 2" xfId="2356"/>
    <cellStyle name="输入 3 2 2 2" xfId="2357"/>
    <cellStyle name="输入 3 2 2 2 2" xfId="4931"/>
    <cellStyle name="输入 3 2 2 2 2 2" xfId="11723"/>
    <cellStyle name="输入 3 2 2 2 2 2 2" xfId="11724"/>
    <cellStyle name="输入 3 2 2 2 2 3" xfId="11725"/>
    <cellStyle name="输入 3 2 2 2 2 3 2" xfId="11726"/>
    <cellStyle name="输入 3 2 2 2 2 4" xfId="11727"/>
    <cellStyle name="输入 3 2 2 2 2 4 2" xfId="11728"/>
    <cellStyle name="输入 3 2 2 2 2 5" xfId="11729"/>
    <cellStyle name="输入 3 2 2 2 2 5 2" xfId="11730"/>
    <cellStyle name="输入 3 2 2 2 2 6" xfId="11731"/>
    <cellStyle name="输入 3 2 2 2 2 6 2" xfId="11732"/>
    <cellStyle name="输入 3 2 2 2 2 7" xfId="11733"/>
    <cellStyle name="输入 3 2 2 2 2 7 2" xfId="11734"/>
    <cellStyle name="输入 3 2 2 2 2 7 2 2" xfId="11735"/>
    <cellStyle name="输入 3 2 2 2 2 7 2 2 2" xfId="11736"/>
    <cellStyle name="输入 3 2 2 2 2 7 3" xfId="11737"/>
    <cellStyle name="输入 3 2 2 2 2 7 3 2" xfId="11738"/>
    <cellStyle name="输入 3 2 2 2 2 8" xfId="11739"/>
    <cellStyle name="输入 3 2 2 2 2 8 2" xfId="11740"/>
    <cellStyle name="输入 3 2 2 2 3" xfId="11741"/>
    <cellStyle name="输入 3 2 2 2 3 2" xfId="11742"/>
    <cellStyle name="输入 3 2 2 2 4" xfId="11743"/>
    <cellStyle name="输入 3 2 2 2 4 2" xfId="11744"/>
    <cellStyle name="输入 3 2 2 2 5" xfId="11745"/>
    <cellStyle name="输入 3 2 2 2 5 2" xfId="11746"/>
    <cellStyle name="输入 3 2 2 2 6" xfId="11747"/>
    <cellStyle name="输入 3 2 2 2 6 2" xfId="11748"/>
    <cellStyle name="输入 3 2 2 2 7" xfId="11749"/>
    <cellStyle name="输入 3 2 2 2 7 2" xfId="11750"/>
    <cellStyle name="输入 3 2 2 3" xfId="4930"/>
    <cellStyle name="输入 3 2 2 3 2" xfId="11751"/>
    <cellStyle name="输入 3 2 2 3 2 2" xfId="11752"/>
    <cellStyle name="输入 3 2 2 3 3" xfId="11753"/>
    <cellStyle name="输入 3 2 2 3 3 2" xfId="11754"/>
    <cellStyle name="输入 3 2 2 3 4" xfId="11755"/>
    <cellStyle name="输入 3 2 2 3 4 2" xfId="11756"/>
    <cellStyle name="输入 3 2 2 3 5" xfId="11757"/>
    <cellStyle name="输入 3 2 2 3 5 2" xfId="11758"/>
    <cellStyle name="输入 3 2 2 3 6" xfId="11759"/>
    <cellStyle name="输入 3 2 2 3 6 2" xfId="11760"/>
    <cellStyle name="输入 3 2 2 3 7" xfId="11761"/>
    <cellStyle name="输入 3 2 2 3 7 2" xfId="11762"/>
    <cellStyle name="输入 3 2 2 3 7 2 2" xfId="11763"/>
    <cellStyle name="输入 3 2 2 3 7 2 2 2" xfId="11764"/>
    <cellStyle name="输入 3 2 2 3 7 3" xfId="11765"/>
    <cellStyle name="输入 3 2 2 3 7 3 2" xfId="11766"/>
    <cellStyle name="输入 3 2 2 3 8" xfId="11767"/>
    <cellStyle name="输入 3 2 2 3 8 2" xfId="11768"/>
    <cellStyle name="输入 3 2 2 4" xfId="11769"/>
    <cellStyle name="输入 3 2 2 4 2" xfId="11770"/>
    <cellStyle name="输入 3 2 2 5" xfId="11771"/>
    <cellStyle name="输入 3 2 2 5 2" xfId="11772"/>
    <cellStyle name="输入 3 2 2 6" xfId="11773"/>
    <cellStyle name="输入 3 2 2 6 2" xfId="11774"/>
    <cellStyle name="输入 3 2 2 7" xfId="11775"/>
    <cellStyle name="输入 3 2 2 7 2" xfId="11776"/>
    <cellStyle name="输入 3 2 2 8" xfId="11777"/>
    <cellStyle name="输入 3 2 2 8 2" xfId="11778"/>
    <cellStyle name="输入 3 2 3" xfId="2358"/>
    <cellStyle name="输入 3 2 3 2" xfId="4932"/>
    <cellStyle name="输入 3 2 3 2 2" xfId="11779"/>
    <cellStyle name="输入 3 2 3 2 2 2" xfId="11780"/>
    <cellStyle name="输入 3 2 3 2 3" xfId="11781"/>
    <cellStyle name="输入 3 2 3 2 3 2" xfId="11782"/>
    <cellStyle name="输入 3 2 3 2 4" xfId="11783"/>
    <cellStyle name="输入 3 2 3 2 4 2" xfId="11784"/>
    <cellStyle name="输入 3 2 3 2 5" xfId="11785"/>
    <cellStyle name="输入 3 2 3 2 5 2" xfId="11786"/>
    <cellStyle name="输入 3 2 3 2 6" xfId="11787"/>
    <cellStyle name="输入 3 2 3 2 6 2" xfId="11788"/>
    <cellStyle name="输入 3 2 3 2 7" xfId="11789"/>
    <cellStyle name="输入 3 2 3 2 7 2" xfId="11790"/>
    <cellStyle name="输入 3 2 3 2 7 2 2" xfId="11791"/>
    <cellStyle name="输入 3 2 3 2 7 2 2 2" xfId="11792"/>
    <cellStyle name="输入 3 2 3 2 7 3" xfId="11793"/>
    <cellStyle name="输入 3 2 3 2 7 3 2" xfId="11794"/>
    <cellStyle name="输入 3 2 3 2 8" xfId="11795"/>
    <cellStyle name="输入 3 2 3 2 8 2" xfId="11796"/>
    <cellStyle name="输入 3 2 3 3" xfId="11797"/>
    <cellStyle name="输入 3 2 3 3 2" xfId="11798"/>
    <cellStyle name="输入 3 2 3 4" xfId="11799"/>
    <cellStyle name="输入 3 2 3 4 2" xfId="11800"/>
    <cellStyle name="输入 3 2 3 5" xfId="11801"/>
    <cellStyle name="输入 3 2 3 5 2" xfId="11802"/>
    <cellStyle name="输入 3 2 3 6" xfId="11803"/>
    <cellStyle name="输入 3 2 3 6 2" xfId="11804"/>
    <cellStyle name="输入 3 2 3 7" xfId="11805"/>
    <cellStyle name="输入 3 2 3 7 2" xfId="11806"/>
    <cellStyle name="输入 3 2 4" xfId="4929"/>
    <cellStyle name="输入 3 2 4 2" xfId="11807"/>
    <cellStyle name="输入 3 2 4 2 2" xfId="11808"/>
    <cellStyle name="输入 3 2 4 3" xfId="11809"/>
    <cellStyle name="输入 3 2 4 3 2" xfId="11810"/>
    <cellStyle name="输入 3 2 4 4" xfId="11811"/>
    <cellStyle name="输入 3 2 4 4 2" xfId="11812"/>
    <cellStyle name="输入 3 2 4 5" xfId="11813"/>
    <cellStyle name="输入 3 2 4 5 2" xfId="11814"/>
    <cellStyle name="输入 3 2 4 6" xfId="11815"/>
    <cellStyle name="输入 3 2 4 6 2" xfId="11816"/>
    <cellStyle name="输入 3 2 4 7" xfId="11817"/>
    <cellStyle name="输入 3 2 4 7 2" xfId="11818"/>
    <cellStyle name="输入 3 2 4 7 2 2" xfId="11819"/>
    <cellStyle name="输入 3 2 4 7 2 2 2" xfId="11820"/>
    <cellStyle name="输入 3 2 4 7 3" xfId="11821"/>
    <cellStyle name="输入 3 2 4 7 3 2" xfId="11822"/>
    <cellStyle name="输入 3 2 4 8" xfId="11823"/>
    <cellStyle name="输入 3 2 4 8 2" xfId="11824"/>
    <cellStyle name="输入 3 2 5" xfId="11825"/>
    <cellStyle name="输入 3 2 5 2" xfId="11826"/>
    <cellStyle name="输入 3 2 6" xfId="11827"/>
    <cellStyle name="输入 3 2 6 2" xfId="11828"/>
    <cellStyle name="输入 3 2 7" xfId="11829"/>
    <cellStyle name="输入 3 2 7 2" xfId="11830"/>
    <cellStyle name="输入 3 2 8" xfId="11831"/>
    <cellStyle name="输入 3 2 8 2" xfId="11832"/>
    <cellStyle name="输入 3 2 9" xfId="11833"/>
    <cellStyle name="输入 3 2 9 2" xfId="11834"/>
    <cellStyle name="输入 3 3" xfId="2189"/>
    <cellStyle name="输入 3 3 2" xfId="2359"/>
    <cellStyle name="输入 3 3 2 2" xfId="4934"/>
    <cellStyle name="输入 3 3 2 2 2" xfId="11835"/>
    <cellStyle name="输入 3 3 2 2 2 2" xfId="11836"/>
    <cellStyle name="输入 3 3 2 2 3" xfId="11837"/>
    <cellStyle name="输入 3 3 2 2 3 2" xfId="11838"/>
    <cellStyle name="输入 3 3 2 2 4" xfId="11839"/>
    <cellStyle name="输入 3 3 2 2 4 2" xfId="11840"/>
    <cellStyle name="输入 3 3 2 2 5" xfId="11841"/>
    <cellStyle name="输入 3 3 2 2 5 2" xfId="11842"/>
    <cellStyle name="输入 3 3 2 2 6" xfId="11843"/>
    <cellStyle name="输入 3 3 2 2 6 2" xfId="11844"/>
    <cellStyle name="输入 3 3 2 2 7" xfId="11845"/>
    <cellStyle name="输入 3 3 2 2 7 2" xfId="11846"/>
    <cellStyle name="输入 3 3 2 2 7 2 2" xfId="11847"/>
    <cellStyle name="输入 3 3 2 2 7 2 2 2" xfId="11848"/>
    <cellStyle name="输入 3 3 2 2 7 3" xfId="11849"/>
    <cellStyle name="输入 3 3 2 2 7 3 2" xfId="11850"/>
    <cellStyle name="输入 3 3 2 2 8" xfId="11851"/>
    <cellStyle name="输入 3 3 2 2 8 2" xfId="11852"/>
    <cellStyle name="输入 3 3 2 3" xfId="11853"/>
    <cellStyle name="输入 3 3 2 3 2" xfId="11854"/>
    <cellStyle name="输入 3 3 2 4" xfId="11855"/>
    <cellStyle name="输入 3 3 2 4 2" xfId="11856"/>
    <cellStyle name="输入 3 3 2 5" xfId="11857"/>
    <cellStyle name="输入 3 3 2 5 2" xfId="11858"/>
    <cellStyle name="输入 3 3 2 6" xfId="11859"/>
    <cellStyle name="输入 3 3 2 6 2" xfId="11860"/>
    <cellStyle name="输入 3 3 2 7" xfId="11861"/>
    <cellStyle name="输入 3 3 2 7 2" xfId="11862"/>
    <cellStyle name="输入 3 3 3" xfId="4933"/>
    <cellStyle name="输入 3 3 3 2" xfId="11863"/>
    <cellStyle name="输入 3 3 3 2 2" xfId="11864"/>
    <cellStyle name="输入 3 3 3 3" xfId="11865"/>
    <cellStyle name="输入 3 3 3 3 2" xfId="11866"/>
    <cellStyle name="输入 3 3 3 4" xfId="11867"/>
    <cellStyle name="输入 3 3 3 4 2" xfId="11868"/>
    <cellStyle name="输入 3 3 3 5" xfId="11869"/>
    <cellStyle name="输入 3 3 3 5 2" xfId="11870"/>
    <cellStyle name="输入 3 3 3 6" xfId="11871"/>
    <cellStyle name="输入 3 3 3 6 2" xfId="11872"/>
    <cellStyle name="输入 3 3 3 7" xfId="11873"/>
    <cellStyle name="输入 3 3 3 7 2" xfId="11874"/>
    <cellStyle name="输入 3 3 3 7 2 2" xfId="11875"/>
    <cellStyle name="输入 3 3 3 7 2 2 2" xfId="11876"/>
    <cellStyle name="输入 3 3 3 7 3" xfId="11877"/>
    <cellStyle name="输入 3 3 3 7 3 2" xfId="11878"/>
    <cellStyle name="输入 3 3 3 8" xfId="11879"/>
    <cellStyle name="输入 3 3 3 8 2" xfId="11880"/>
    <cellStyle name="输入 3 3 4" xfId="11881"/>
    <cellStyle name="输入 3 3 4 2" xfId="11882"/>
    <cellStyle name="输入 3 3 5" xfId="11883"/>
    <cellStyle name="输入 3 3 5 2" xfId="11884"/>
    <cellStyle name="输入 3 3 6" xfId="11885"/>
    <cellStyle name="输入 3 3 6 2" xfId="11886"/>
    <cellStyle name="输入 3 3 7" xfId="11887"/>
    <cellStyle name="输入 3 3 7 2" xfId="11888"/>
    <cellStyle name="输入 3 3 8" xfId="11889"/>
    <cellStyle name="输入 3 3 8 2" xfId="11890"/>
    <cellStyle name="输入 3 4" xfId="2276"/>
    <cellStyle name="输入 3 4 2" xfId="4935"/>
    <cellStyle name="输入 3 4 2 2" xfId="11891"/>
    <cellStyle name="输入 3 4 2 2 2" xfId="11892"/>
    <cellStyle name="输入 3 4 2 3" xfId="11893"/>
    <cellStyle name="输入 3 4 2 3 2" xfId="11894"/>
    <cellStyle name="输入 3 4 2 4" xfId="11895"/>
    <cellStyle name="输入 3 4 2 4 2" xfId="11896"/>
    <cellStyle name="输入 3 4 2 5" xfId="11897"/>
    <cellStyle name="输入 3 4 2 5 2" xfId="11898"/>
    <cellStyle name="输入 3 4 2 6" xfId="11899"/>
    <cellStyle name="输入 3 4 2 6 2" xfId="11900"/>
    <cellStyle name="输入 3 4 2 7" xfId="11901"/>
    <cellStyle name="输入 3 4 2 7 2" xfId="11902"/>
    <cellStyle name="输入 3 4 2 7 2 2" xfId="11903"/>
    <cellStyle name="输入 3 4 2 7 2 2 2" xfId="11904"/>
    <cellStyle name="输入 3 4 2 7 3" xfId="11905"/>
    <cellStyle name="输入 3 4 2 7 3 2" xfId="11906"/>
    <cellStyle name="输入 3 4 2 8" xfId="11907"/>
    <cellStyle name="输入 3 4 2 8 2" xfId="11908"/>
    <cellStyle name="输入 3 4 3" xfId="11909"/>
    <cellStyle name="输入 3 4 3 2" xfId="11910"/>
    <cellStyle name="输入 3 4 4" xfId="11911"/>
    <cellStyle name="输入 3 4 4 2" xfId="11912"/>
    <cellStyle name="输入 3 4 5" xfId="11913"/>
    <cellStyle name="输入 3 4 5 2" xfId="11914"/>
    <cellStyle name="输入 3 4 6" xfId="11915"/>
    <cellStyle name="输入 3 4 6 2" xfId="11916"/>
    <cellStyle name="输入 3 4 7" xfId="11917"/>
    <cellStyle name="输入 3 4 7 2" xfId="11918"/>
    <cellStyle name="输入 3 5" xfId="2790"/>
    <cellStyle name="输入 3 5 2" xfId="11919"/>
    <cellStyle name="输入 3 5 2 2" xfId="11920"/>
    <cellStyle name="输入 3 5 3" xfId="11921"/>
    <cellStyle name="输入 3 5 3 2" xfId="11922"/>
    <cellStyle name="输入 3 5 4" xfId="11923"/>
    <cellStyle name="输入 3 5 4 2" xfId="11924"/>
    <cellStyle name="输入 3 5 5" xfId="11925"/>
    <cellStyle name="输入 3 5 5 2" xfId="11926"/>
    <cellStyle name="输入 3 5 6" xfId="11927"/>
    <cellStyle name="输入 3 5 6 2" xfId="11928"/>
    <cellStyle name="输入 3 5 7" xfId="11929"/>
    <cellStyle name="输入 3 5 7 2" xfId="11930"/>
    <cellStyle name="输入 3 5 7 2 2" xfId="11931"/>
    <cellStyle name="输入 3 5 7 2 2 2" xfId="11932"/>
    <cellStyle name="输入 3 5 7 3" xfId="11933"/>
    <cellStyle name="输入 3 5 7 3 2" xfId="11934"/>
    <cellStyle name="输入 3 5 8" xfId="11935"/>
    <cellStyle name="输入 3 5 8 2" xfId="11936"/>
    <cellStyle name="输入 3 6" xfId="11937"/>
    <cellStyle name="输入 3 6 2" xfId="11938"/>
    <cellStyle name="输入 3 7" xfId="11939"/>
    <cellStyle name="输入 3 7 2" xfId="11940"/>
    <cellStyle name="输入 3 8" xfId="11941"/>
    <cellStyle name="输入 3 8 2" xfId="11942"/>
    <cellStyle name="输入 3 9" xfId="11943"/>
    <cellStyle name="输入 3 9 2" xfId="11944"/>
    <cellStyle name="输入 4" xfId="537"/>
    <cellStyle name="输入 4 2" xfId="2360"/>
    <cellStyle name="输入 4 2 2" xfId="971"/>
    <cellStyle name="输入 4 2 2 2" xfId="4938"/>
    <cellStyle name="输入 4 2 2 2 2" xfId="11945"/>
    <cellStyle name="输入 4 2 2 2 2 2" xfId="11946"/>
    <cellStyle name="输入 4 2 2 2 3" xfId="11947"/>
    <cellStyle name="输入 4 2 2 2 3 2" xfId="11948"/>
    <cellStyle name="输入 4 2 2 2 4" xfId="11949"/>
    <cellStyle name="输入 4 2 2 2 4 2" xfId="11950"/>
    <cellStyle name="输入 4 2 2 2 5" xfId="11951"/>
    <cellStyle name="输入 4 2 2 2 5 2" xfId="11952"/>
    <cellStyle name="输入 4 2 2 2 6" xfId="11953"/>
    <cellStyle name="输入 4 2 2 2 6 2" xfId="11954"/>
    <cellStyle name="输入 4 2 2 2 7" xfId="11955"/>
    <cellStyle name="输入 4 2 2 2 7 2" xfId="11956"/>
    <cellStyle name="输入 4 2 2 2 7 2 2" xfId="11957"/>
    <cellStyle name="输入 4 2 2 2 7 2 2 2" xfId="11958"/>
    <cellStyle name="输入 4 2 2 2 7 3" xfId="11959"/>
    <cellStyle name="输入 4 2 2 2 7 3 2" xfId="11960"/>
    <cellStyle name="输入 4 2 2 2 8" xfId="11961"/>
    <cellStyle name="输入 4 2 2 2 8 2" xfId="11962"/>
    <cellStyle name="输入 4 2 2 3" xfId="11963"/>
    <cellStyle name="输入 4 2 2 3 2" xfId="11964"/>
    <cellStyle name="输入 4 2 2 4" xfId="11965"/>
    <cellStyle name="输入 4 2 2 4 2" xfId="11966"/>
    <cellStyle name="输入 4 2 2 5" xfId="11967"/>
    <cellStyle name="输入 4 2 2 5 2" xfId="11968"/>
    <cellStyle name="输入 4 2 2 6" xfId="11969"/>
    <cellStyle name="输入 4 2 2 6 2" xfId="11970"/>
    <cellStyle name="输入 4 2 2 7" xfId="11971"/>
    <cellStyle name="输入 4 2 2 7 2" xfId="11972"/>
    <cellStyle name="输入 4 2 3" xfId="4937"/>
    <cellStyle name="输入 4 2 3 2" xfId="11973"/>
    <cellStyle name="输入 4 2 3 2 2" xfId="11974"/>
    <cellStyle name="输入 4 2 3 3" xfId="11975"/>
    <cellStyle name="输入 4 2 3 3 2" xfId="11976"/>
    <cellStyle name="输入 4 2 3 4" xfId="11977"/>
    <cellStyle name="输入 4 2 3 4 2" xfId="11978"/>
    <cellStyle name="输入 4 2 3 5" xfId="11979"/>
    <cellStyle name="输入 4 2 3 5 2" xfId="11980"/>
    <cellStyle name="输入 4 2 3 6" xfId="11981"/>
    <cellStyle name="输入 4 2 3 6 2" xfId="11982"/>
    <cellStyle name="输入 4 2 3 7" xfId="11983"/>
    <cellStyle name="输入 4 2 3 7 2" xfId="11984"/>
    <cellStyle name="输入 4 2 3 7 2 2" xfId="11985"/>
    <cellStyle name="输入 4 2 3 7 2 2 2" xfId="11986"/>
    <cellStyle name="输入 4 2 3 7 3" xfId="11987"/>
    <cellStyle name="输入 4 2 3 7 3 2" xfId="11988"/>
    <cellStyle name="输入 4 2 3 8" xfId="11989"/>
    <cellStyle name="输入 4 2 3 8 2" xfId="11990"/>
    <cellStyle name="输入 4 2 4" xfId="11991"/>
    <cellStyle name="输入 4 2 4 2" xfId="11992"/>
    <cellStyle name="输入 4 2 5" xfId="11993"/>
    <cellStyle name="输入 4 2 5 2" xfId="11994"/>
    <cellStyle name="输入 4 2 6" xfId="11995"/>
    <cellStyle name="输入 4 2 6 2" xfId="11996"/>
    <cellStyle name="输入 4 2 7" xfId="11997"/>
    <cellStyle name="输入 4 2 7 2" xfId="11998"/>
    <cellStyle name="输入 4 2 8" xfId="11999"/>
    <cellStyle name="输入 4 2 8 2" xfId="12000"/>
    <cellStyle name="输入 4 3" xfId="2361"/>
    <cellStyle name="输入 4 3 2" xfId="4939"/>
    <cellStyle name="输入 4 3 2 2" xfId="12001"/>
    <cellStyle name="输入 4 3 2 2 2" xfId="12002"/>
    <cellStyle name="输入 4 3 2 3" xfId="12003"/>
    <cellStyle name="输入 4 3 2 3 2" xfId="12004"/>
    <cellStyle name="输入 4 3 2 4" xfId="12005"/>
    <cellStyle name="输入 4 3 2 4 2" xfId="12006"/>
    <cellStyle name="输入 4 3 2 5" xfId="12007"/>
    <cellStyle name="输入 4 3 2 5 2" xfId="12008"/>
    <cellStyle name="输入 4 3 2 6" xfId="12009"/>
    <cellStyle name="输入 4 3 2 6 2" xfId="12010"/>
    <cellStyle name="输入 4 3 2 7" xfId="12011"/>
    <cellStyle name="输入 4 3 2 7 2" xfId="12012"/>
    <cellStyle name="输入 4 3 2 7 2 2" xfId="12013"/>
    <cellStyle name="输入 4 3 2 7 2 2 2" xfId="12014"/>
    <cellStyle name="输入 4 3 2 7 3" xfId="12015"/>
    <cellStyle name="输入 4 3 2 7 3 2" xfId="12016"/>
    <cellStyle name="输入 4 3 2 8" xfId="12017"/>
    <cellStyle name="输入 4 3 2 8 2" xfId="12018"/>
    <cellStyle name="输入 4 3 3" xfId="12019"/>
    <cellStyle name="输入 4 3 3 2" xfId="12020"/>
    <cellStyle name="输入 4 3 4" xfId="12021"/>
    <cellStyle name="输入 4 3 4 2" xfId="12022"/>
    <cellStyle name="输入 4 3 5" xfId="12023"/>
    <cellStyle name="输入 4 3 5 2" xfId="12024"/>
    <cellStyle name="输入 4 3 6" xfId="12025"/>
    <cellStyle name="输入 4 3 6 2" xfId="12026"/>
    <cellStyle name="输入 4 3 7" xfId="12027"/>
    <cellStyle name="输入 4 3 7 2" xfId="12028"/>
    <cellStyle name="输入 4 4" xfId="4936"/>
    <cellStyle name="输入 4 4 2" xfId="12029"/>
    <cellStyle name="输入 4 4 2 2" xfId="12030"/>
    <cellStyle name="输入 4 4 3" xfId="12031"/>
    <cellStyle name="输入 4 4 3 2" xfId="12032"/>
    <cellStyle name="输入 4 4 4" xfId="12033"/>
    <cellStyle name="输入 4 4 4 2" xfId="12034"/>
    <cellStyle name="输入 4 4 5" xfId="12035"/>
    <cellStyle name="输入 4 4 5 2" xfId="12036"/>
    <cellStyle name="输入 4 4 6" xfId="12037"/>
    <cellStyle name="输入 4 4 6 2" xfId="12038"/>
    <cellStyle name="输入 4 4 7" xfId="12039"/>
    <cellStyle name="输入 4 4 7 2" xfId="12040"/>
    <cellStyle name="输入 4 4 7 2 2" xfId="12041"/>
    <cellStyle name="输入 4 4 7 2 2 2" xfId="12042"/>
    <cellStyle name="输入 4 4 7 3" xfId="12043"/>
    <cellStyle name="输入 4 4 7 3 2" xfId="12044"/>
    <cellStyle name="输入 4 4 8" xfId="12045"/>
    <cellStyle name="输入 4 4 8 2" xfId="12046"/>
    <cellStyle name="输入 4 5" xfId="12047"/>
    <cellStyle name="输入 4 5 2" xfId="12048"/>
    <cellStyle name="输入 4 6" xfId="12049"/>
    <cellStyle name="输入 4 6 2" xfId="12050"/>
    <cellStyle name="输入 4 7" xfId="12051"/>
    <cellStyle name="输入 4 7 2" xfId="12052"/>
    <cellStyle name="输入 4 8" xfId="12053"/>
    <cellStyle name="输入 4 8 2" xfId="12054"/>
    <cellStyle name="输入 4 9" xfId="12055"/>
    <cellStyle name="输入 4 9 2" xfId="12056"/>
    <cellStyle name="输入 5" xfId="402"/>
    <cellStyle name="输入 5 2" xfId="2362"/>
    <cellStyle name="输入 5 2 2" xfId="1014"/>
    <cellStyle name="输入 5 2 2 2" xfId="4942"/>
    <cellStyle name="输入 5 2 2 2 2" xfId="12057"/>
    <cellStyle name="输入 5 2 2 2 2 2" xfId="12058"/>
    <cellStyle name="输入 5 2 2 2 3" xfId="12059"/>
    <cellStyle name="输入 5 2 2 2 3 2" xfId="12060"/>
    <cellStyle name="输入 5 2 2 2 4" xfId="12061"/>
    <cellStyle name="输入 5 2 2 2 4 2" xfId="12062"/>
    <cellStyle name="输入 5 2 2 2 5" xfId="12063"/>
    <cellStyle name="输入 5 2 2 2 5 2" xfId="12064"/>
    <cellStyle name="输入 5 2 2 2 6" xfId="12065"/>
    <cellStyle name="输入 5 2 2 2 6 2" xfId="12066"/>
    <cellStyle name="输入 5 2 2 2 7" xfId="12067"/>
    <cellStyle name="输入 5 2 2 2 7 2" xfId="12068"/>
    <cellStyle name="输入 5 2 2 2 7 2 2" xfId="12069"/>
    <cellStyle name="输入 5 2 2 2 7 2 2 2" xfId="12070"/>
    <cellStyle name="输入 5 2 2 2 7 3" xfId="12071"/>
    <cellStyle name="输入 5 2 2 2 7 3 2" xfId="12072"/>
    <cellStyle name="输入 5 2 2 2 8" xfId="12073"/>
    <cellStyle name="输入 5 2 2 2 8 2" xfId="12074"/>
    <cellStyle name="输入 5 2 2 3" xfId="12075"/>
    <cellStyle name="输入 5 2 2 3 2" xfId="12076"/>
    <cellStyle name="输入 5 2 2 4" xfId="12077"/>
    <cellStyle name="输入 5 2 2 4 2" xfId="12078"/>
    <cellStyle name="输入 5 2 2 5" xfId="12079"/>
    <cellStyle name="输入 5 2 2 5 2" xfId="12080"/>
    <cellStyle name="输入 5 2 2 6" xfId="12081"/>
    <cellStyle name="输入 5 2 2 6 2" xfId="12082"/>
    <cellStyle name="输入 5 2 2 7" xfId="12083"/>
    <cellStyle name="输入 5 2 2 7 2" xfId="12084"/>
    <cellStyle name="输入 5 2 3" xfId="4941"/>
    <cellStyle name="输入 5 2 3 2" xfId="12085"/>
    <cellStyle name="输入 5 2 3 2 2" xfId="12086"/>
    <cellStyle name="输入 5 2 3 3" xfId="12087"/>
    <cellStyle name="输入 5 2 3 3 2" xfId="12088"/>
    <cellStyle name="输入 5 2 3 4" xfId="12089"/>
    <cellStyle name="输入 5 2 3 4 2" xfId="12090"/>
    <cellStyle name="输入 5 2 3 5" xfId="12091"/>
    <cellStyle name="输入 5 2 3 5 2" xfId="12092"/>
    <cellStyle name="输入 5 2 3 6" xfId="12093"/>
    <cellStyle name="输入 5 2 3 6 2" xfId="12094"/>
    <cellStyle name="输入 5 2 3 7" xfId="12095"/>
    <cellStyle name="输入 5 2 3 7 2" xfId="12096"/>
    <cellStyle name="输入 5 2 3 7 2 2" xfId="12097"/>
    <cellStyle name="输入 5 2 3 7 2 2 2" xfId="12098"/>
    <cellStyle name="输入 5 2 3 7 3" xfId="12099"/>
    <cellStyle name="输入 5 2 3 7 3 2" xfId="12100"/>
    <cellStyle name="输入 5 2 3 8" xfId="12101"/>
    <cellStyle name="输入 5 2 3 8 2" xfId="12102"/>
    <cellStyle name="输入 5 2 4" xfId="12103"/>
    <cellStyle name="输入 5 2 4 2" xfId="12104"/>
    <cellStyle name="输入 5 2 5" xfId="12105"/>
    <cellStyle name="输入 5 2 5 2" xfId="12106"/>
    <cellStyle name="输入 5 2 6" xfId="12107"/>
    <cellStyle name="输入 5 2 6 2" xfId="12108"/>
    <cellStyle name="输入 5 2 7" xfId="12109"/>
    <cellStyle name="输入 5 2 7 2" xfId="12110"/>
    <cellStyle name="输入 5 2 8" xfId="12111"/>
    <cellStyle name="输入 5 2 8 2" xfId="12112"/>
    <cellStyle name="输入 5 3" xfId="2363"/>
    <cellStyle name="输入 5 3 2" xfId="4943"/>
    <cellStyle name="输入 5 3 2 2" xfId="12113"/>
    <cellStyle name="输入 5 3 2 2 2" xfId="12114"/>
    <cellStyle name="输入 5 3 2 3" xfId="12115"/>
    <cellStyle name="输入 5 3 2 3 2" xfId="12116"/>
    <cellStyle name="输入 5 3 2 4" xfId="12117"/>
    <cellStyle name="输入 5 3 2 4 2" xfId="12118"/>
    <cellStyle name="输入 5 3 2 5" xfId="12119"/>
    <cellStyle name="输入 5 3 2 5 2" xfId="12120"/>
    <cellStyle name="输入 5 3 2 6" xfId="12121"/>
    <cellStyle name="输入 5 3 2 6 2" xfId="12122"/>
    <cellStyle name="输入 5 3 2 7" xfId="12123"/>
    <cellStyle name="输入 5 3 2 7 2" xfId="12124"/>
    <cellStyle name="输入 5 3 2 7 2 2" xfId="12125"/>
    <cellStyle name="输入 5 3 2 7 2 2 2" xfId="12126"/>
    <cellStyle name="输入 5 3 2 7 3" xfId="12127"/>
    <cellStyle name="输入 5 3 2 7 3 2" xfId="12128"/>
    <cellStyle name="输入 5 3 2 8" xfId="12129"/>
    <cellStyle name="输入 5 3 2 8 2" xfId="12130"/>
    <cellStyle name="输入 5 3 3" xfId="12131"/>
    <cellStyle name="输入 5 3 3 2" xfId="12132"/>
    <cellStyle name="输入 5 3 4" xfId="12133"/>
    <cellStyle name="输入 5 3 4 2" xfId="12134"/>
    <cellStyle name="输入 5 3 5" xfId="12135"/>
    <cellStyle name="输入 5 3 5 2" xfId="12136"/>
    <cellStyle name="输入 5 3 6" xfId="12137"/>
    <cellStyle name="输入 5 3 6 2" xfId="12138"/>
    <cellStyle name="输入 5 3 7" xfId="12139"/>
    <cellStyle name="输入 5 3 7 2" xfId="12140"/>
    <cellStyle name="输入 5 4" xfId="4940"/>
    <cellStyle name="输入 5 4 2" xfId="12141"/>
    <cellStyle name="输入 5 4 2 2" xfId="12142"/>
    <cellStyle name="输入 5 4 3" xfId="12143"/>
    <cellStyle name="输入 5 4 3 2" xfId="12144"/>
    <cellStyle name="输入 5 4 4" xfId="12145"/>
    <cellStyle name="输入 5 4 4 2" xfId="12146"/>
    <cellStyle name="输入 5 4 5" xfId="12147"/>
    <cellStyle name="输入 5 4 5 2" xfId="12148"/>
    <cellStyle name="输入 5 4 6" xfId="12149"/>
    <cellStyle name="输入 5 4 6 2" xfId="12150"/>
    <cellStyle name="输入 5 4 7" xfId="12151"/>
    <cellStyle name="输入 5 4 7 2" xfId="12152"/>
    <cellStyle name="输入 5 4 7 2 2" xfId="12153"/>
    <cellStyle name="输入 5 4 7 2 2 2" xfId="12154"/>
    <cellStyle name="输入 5 4 7 3" xfId="12155"/>
    <cellStyle name="输入 5 4 7 3 2" xfId="12156"/>
    <cellStyle name="输入 5 4 8" xfId="12157"/>
    <cellStyle name="输入 5 4 8 2" xfId="12158"/>
    <cellStyle name="输入 5 5" xfId="12159"/>
    <cellStyle name="输入 5 5 2" xfId="12160"/>
    <cellStyle name="输入 5 6" xfId="12161"/>
    <cellStyle name="输入 5 6 2" xfId="12162"/>
    <cellStyle name="输入 5 7" xfId="12163"/>
    <cellStyle name="输入 5 7 2" xfId="12164"/>
    <cellStyle name="输入 5 8" xfId="12165"/>
    <cellStyle name="输入 5 8 2" xfId="12166"/>
    <cellStyle name="输入 5 9" xfId="12167"/>
    <cellStyle name="输入 5 9 2" xfId="12168"/>
    <cellStyle name="输入 6" xfId="407"/>
    <cellStyle name="输入 6 2" xfId="1006"/>
    <cellStyle name="输入 6 2 2" xfId="4945"/>
    <cellStyle name="输入 6 2 2 2" xfId="12169"/>
    <cellStyle name="输入 6 2 2 2 2" xfId="12170"/>
    <cellStyle name="输入 6 2 2 3" xfId="12171"/>
    <cellStyle name="输入 6 2 2 3 2" xfId="12172"/>
    <cellStyle name="输入 6 2 2 4" xfId="12173"/>
    <cellStyle name="输入 6 2 2 4 2" xfId="12174"/>
    <cellStyle name="输入 6 2 2 5" xfId="12175"/>
    <cellStyle name="输入 6 2 2 5 2" xfId="12176"/>
    <cellStyle name="输入 6 2 2 6" xfId="12177"/>
    <cellStyle name="输入 6 2 2 6 2" xfId="12178"/>
    <cellStyle name="输入 6 2 2 7" xfId="12179"/>
    <cellStyle name="输入 6 2 2 7 2" xfId="12180"/>
    <cellStyle name="输入 6 2 2 7 2 2" xfId="12181"/>
    <cellStyle name="输入 6 2 2 7 2 2 2" xfId="12182"/>
    <cellStyle name="输入 6 2 2 7 3" xfId="12183"/>
    <cellStyle name="输入 6 2 2 7 3 2" xfId="12184"/>
    <cellStyle name="输入 6 2 2 8" xfId="12185"/>
    <cellStyle name="输入 6 2 2 8 2" xfId="12186"/>
    <cellStyle name="输入 6 2 3" xfId="12187"/>
    <cellStyle name="输入 6 2 3 2" xfId="12188"/>
    <cellStyle name="输入 6 2 4" xfId="12189"/>
    <cellStyle name="输入 6 2 4 2" xfId="12190"/>
    <cellStyle name="输入 6 2 5" xfId="12191"/>
    <cellStyle name="输入 6 2 5 2" xfId="12192"/>
    <cellStyle name="输入 6 2 6" xfId="12193"/>
    <cellStyle name="输入 6 2 6 2" xfId="12194"/>
    <cellStyle name="输入 6 2 7" xfId="12195"/>
    <cellStyle name="输入 6 2 7 2" xfId="12196"/>
    <cellStyle name="输入 6 3" xfId="4944"/>
    <cellStyle name="输入 6 3 2" xfId="12197"/>
    <cellStyle name="输入 6 3 2 2" xfId="12198"/>
    <cellStyle name="输入 6 3 3" xfId="12199"/>
    <cellStyle name="输入 6 3 3 2" xfId="12200"/>
    <cellStyle name="输入 6 3 4" xfId="12201"/>
    <cellStyle name="输入 6 3 4 2" xfId="12202"/>
    <cellStyle name="输入 6 3 5" xfId="12203"/>
    <cellStyle name="输入 6 3 5 2" xfId="12204"/>
    <cellStyle name="输入 6 3 6" xfId="12205"/>
    <cellStyle name="输入 6 3 6 2" xfId="12206"/>
    <cellStyle name="输入 6 3 7" xfId="12207"/>
    <cellStyle name="输入 6 3 7 2" xfId="12208"/>
    <cellStyle name="输入 6 3 7 2 2" xfId="12209"/>
    <cellStyle name="输入 6 3 7 2 2 2" xfId="12210"/>
    <cellStyle name="输入 6 3 7 3" xfId="12211"/>
    <cellStyle name="输入 6 3 7 3 2" xfId="12212"/>
    <cellStyle name="输入 6 3 8" xfId="12213"/>
    <cellStyle name="输入 6 3 8 2" xfId="12214"/>
    <cellStyle name="输入 6 4" xfId="12215"/>
    <cellStyle name="输入 6 4 2" xfId="12216"/>
    <cellStyle name="输入 6 5" xfId="12217"/>
    <cellStyle name="输入 6 5 2" xfId="12218"/>
    <cellStyle name="输入 6 6" xfId="12219"/>
    <cellStyle name="输入 6 6 2" xfId="12220"/>
    <cellStyle name="输入 6 7" xfId="12221"/>
    <cellStyle name="输入 6 7 2" xfId="12222"/>
    <cellStyle name="输入 6 8" xfId="12223"/>
    <cellStyle name="输入 6 8 2" xfId="12224"/>
    <cellStyle name="输入 7" xfId="411"/>
    <cellStyle name="输入 7 2" xfId="4946"/>
    <cellStyle name="输入 7 2 2" xfId="12225"/>
    <cellStyle name="输入 7 2 2 2" xfId="12226"/>
    <cellStyle name="输入 7 2 3" xfId="12227"/>
    <cellStyle name="输入 7 2 3 2" xfId="12228"/>
    <cellStyle name="输入 7 2 4" xfId="12229"/>
    <cellStyle name="输入 7 2 4 2" xfId="12230"/>
    <cellStyle name="输入 7 2 5" xfId="12231"/>
    <cellStyle name="输入 7 2 5 2" xfId="12232"/>
    <cellStyle name="输入 7 2 6" xfId="12233"/>
    <cellStyle name="输入 7 2 6 2" xfId="12234"/>
    <cellStyle name="输入 7 2 7" xfId="12235"/>
    <cellStyle name="输入 7 2 7 2" xfId="12236"/>
    <cellStyle name="输入 7 2 7 2 2" xfId="12237"/>
    <cellStyle name="输入 7 2 7 2 2 2" xfId="12238"/>
    <cellStyle name="输入 7 2 7 3" xfId="12239"/>
    <cellStyle name="输入 7 2 7 3 2" xfId="12240"/>
    <cellStyle name="输入 7 2 8" xfId="12241"/>
    <cellStyle name="输入 7 2 8 2" xfId="12242"/>
    <cellStyle name="输入 7 3" xfId="12243"/>
    <cellStyle name="输入 7 3 2" xfId="12244"/>
    <cellStyle name="输入 7 4" xfId="12245"/>
    <cellStyle name="输入 7 4 2" xfId="12246"/>
    <cellStyle name="输入 7 5" xfId="12247"/>
    <cellStyle name="输入 7 5 2" xfId="12248"/>
    <cellStyle name="输入 7 6" xfId="12249"/>
    <cellStyle name="输入 7 6 2" xfId="12250"/>
    <cellStyle name="输入 7 7" xfId="12251"/>
    <cellStyle name="输入 7 7 2" xfId="12252"/>
    <cellStyle name="输入 8" xfId="2784"/>
    <cellStyle name="输入 8 2" xfId="12253"/>
    <cellStyle name="输入 8 2 2" xfId="12254"/>
    <cellStyle name="输入 8 3" xfId="12255"/>
    <cellStyle name="输入 8 3 2" xfId="12256"/>
    <cellStyle name="输入 8 4" xfId="12257"/>
    <cellStyle name="输入 8 4 2" xfId="12258"/>
    <cellStyle name="输入 8 5" xfId="12259"/>
    <cellStyle name="输入 8 5 2" xfId="12260"/>
    <cellStyle name="输入 8 6" xfId="12261"/>
    <cellStyle name="输入 8 6 2" xfId="12262"/>
    <cellStyle name="输入 8 7" xfId="12263"/>
    <cellStyle name="输入 8 7 2" xfId="12264"/>
    <cellStyle name="输入 8 7 2 2" xfId="12265"/>
    <cellStyle name="输入 8 7 2 2 2" xfId="12266"/>
    <cellStyle name="输入 8 7 3" xfId="12267"/>
    <cellStyle name="输入 8 7 3 2" xfId="12268"/>
    <cellStyle name="输入 8 8" xfId="12269"/>
    <cellStyle name="输入 8 8 2" xfId="12270"/>
    <cellStyle name="输入 9" xfId="12271"/>
    <cellStyle name="输入 9 2" xfId="12272"/>
    <cellStyle name="数字" xfId="2364"/>
    <cellStyle name="数字 10" xfId="12273"/>
    <cellStyle name="数字 10 2" xfId="12274"/>
    <cellStyle name="数字 10 2 2" xfId="12275"/>
    <cellStyle name="数字 10 3" xfId="12276"/>
    <cellStyle name="数字 11" xfId="12277"/>
    <cellStyle name="数字 11 2" xfId="12278"/>
    <cellStyle name="数字 12" xfId="12279"/>
    <cellStyle name="数字 2" xfId="2365"/>
    <cellStyle name="数字 2 10" xfId="12280"/>
    <cellStyle name="数字 2 10 2" xfId="12281"/>
    <cellStyle name="数字 2 11" xfId="12282"/>
    <cellStyle name="数字 2 2" xfId="2366"/>
    <cellStyle name="数字 2 2 10" xfId="12283"/>
    <cellStyle name="数字 2 2 2" xfId="2367"/>
    <cellStyle name="数字 2 2 2 2" xfId="929"/>
    <cellStyle name="数字 2 2 2 2 2" xfId="12284"/>
    <cellStyle name="数字 2 2 2 2 2 2" xfId="12285"/>
    <cellStyle name="数字 2 2 2 2 2 2 2" xfId="12286"/>
    <cellStyle name="数字 2 2 2 2 2 3" xfId="12287"/>
    <cellStyle name="数字 2 2 2 2 2 3 2" xfId="12288"/>
    <cellStyle name="数字 2 2 2 2 2 4" xfId="12289"/>
    <cellStyle name="数字 2 2 2 2 3" xfId="12290"/>
    <cellStyle name="数字 2 2 2 2 3 2" xfId="12291"/>
    <cellStyle name="数字 2 2 2 2 3 2 2" xfId="12292"/>
    <cellStyle name="数字 2 2 2 2 3 3" xfId="12293"/>
    <cellStyle name="数字 2 2 2 2 4" xfId="12294"/>
    <cellStyle name="数字 2 2 2 2 4 2" xfId="12295"/>
    <cellStyle name="数字 2 2 2 2 4 2 2" xfId="12296"/>
    <cellStyle name="数字 2 2 2 2 4 3" xfId="12297"/>
    <cellStyle name="数字 2 2 2 2 5" xfId="12298"/>
    <cellStyle name="数字 2 2 2 2 5 2" xfId="12299"/>
    <cellStyle name="数字 2 2 2 2 5 2 2" xfId="12300"/>
    <cellStyle name="数字 2 2 2 2 5 3" xfId="12301"/>
    <cellStyle name="数字 2 2 2 2 6" xfId="12302"/>
    <cellStyle name="数字 2 2 2 2 6 2" xfId="12303"/>
    <cellStyle name="数字 2 2 2 2 6 2 2" xfId="12304"/>
    <cellStyle name="数字 2 2 2 2 6 3" xfId="12305"/>
    <cellStyle name="数字 2 2 2 2 7" xfId="12306"/>
    <cellStyle name="数字 2 2 2 2 7 2" xfId="12307"/>
    <cellStyle name="数字 2 2 2 2 8" xfId="12308"/>
    <cellStyle name="数字 2 2 2 3" xfId="12309"/>
    <cellStyle name="数字 2 2 2 3 2" xfId="12310"/>
    <cellStyle name="数字 2 2 2 3 2 2" xfId="12311"/>
    <cellStyle name="数字 2 2 2 3 3" xfId="12312"/>
    <cellStyle name="数字 2 2 2 3 3 2" xfId="12313"/>
    <cellStyle name="数字 2 2 2 3 4" xfId="12314"/>
    <cellStyle name="数字 2 2 2 4" xfId="12315"/>
    <cellStyle name="数字 2 2 2 4 2" xfId="12316"/>
    <cellStyle name="数字 2 2 2 4 2 2" xfId="12317"/>
    <cellStyle name="数字 2 2 2 4 3" xfId="12318"/>
    <cellStyle name="数字 2 2 2 5" xfId="12319"/>
    <cellStyle name="数字 2 2 2 5 2" xfId="12320"/>
    <cellStyle name="数字 2 2 2 5 2 2" xfId="12321"/>
    <cellStyle name="数字 2 2 2 5 3" xfId="12322"/>
    <cellStyle name="数字 2 2 2 6" xfId="12323"/>
    <cellStyle name="数字 2 2 2 6 2" xfId="12324"/>
    <cellStyle name="数字 2 2 2 6 2 2" xfId="12325"/>
    <cellStyle name="数字 2 2 2 6 3" xfId="12326"/>
    <cellStyle name="数字 2 2 2 7" xfId="12327"/>
    <cellStyle name="数字 2 2 2 7 2" xfId="12328"/>
    <cellStyle name="数字 2 2 2 7 2 2" xfId="12329"/>
    <cellStyle name="数字 2 2 2 7 3" xfId="12330"/>
    <cellStyle name="数字 2 2 2 8" xfId="12331"/>
    <cellStyle name="数字 2 2 2 8 2" xfId="12332"/>
    <cellStyle name="数字 2 2 2 9" xfId="12333"/>
    <cellStyle name="数字 2 2 3" xfId="2368"/>
    <cellStyle name="数字 2 2 3 2" xfId="12334"/>
    <cellStyle name="数字 2 2 3 2 2" xfId="12335"/>
    <cellStyle name="数字 2 2 3 2 2 2" xfId="12336"/>
    <cellStyle name="数字 2 2 3 2 3" xfId="12337"/>
    <cellStyle name="数字 2 2 3 2 3 2" xfId="12338"/>
    <cellStyle name="数字 2 2 3 2 4" xfId="12339"/>
    <cellStyle name="数字 2 2 3 3" xfId="12340"/>
    <cellStyle name="数字 2 2 3 3 2" xfId="12341"/>
    <cellStyle name="数字 2 2 3 3 2 2" xfId="12342"/>
    <cellStyle name="数字 2 2 3 3 3" xfId="12343"/>
    <cellStyle name="数字 2 2 3 4" xfId="12344"/>
    <cellStyle name="数字 2 2 3 4 2" xfId="12345"/>
    <cellStyle name="数字 2 2 3 4 2 2" xfId="12346"/>
    <cellStyle name="数字 2 2 3 4 3" xfId="12347"/>
    <cellStyle name="数字 2 2 3 5" xfId="12348"/>
    <cellStyle name="数字 2 2 3 5 2" xfId="12349"/>
    <cellStyle name="数字 2 2 3 5 2 2" xfId="12350"/>
    <cellStyle name="数字 2 2 3 5 3" xfId="12351"/>
    <cellStyle name="数字 2 2 3 6" xfId="12352"/>
    <cellStyle name="数字 2 2 3 6 2" xfId="12353"/>
    <cellStyle name="数字 2 2 3 6 2 2" xfId="12354"/>
    <cellStyle name="数字 2 2 3 6 3" xfId="12355"/>
    <cellStyle name="数字 2 2 3 7" xfId="12356"/>
    <cellStyle name="数字 2 2 3 7 2" xfId="12357"/>
    <cellStyle name="数字 2 2 3 8" xfId="12358"/>
    <cellStyle name="数字 2 2 4" xfId="12359"/>
    <cellStyle name="数字 2 2 4 2" xfId="12360"/>
    <cellStyle name="数字 2 2 4 2 2" xfId="12361"/>
    <cellStyle name="数字 2 2 4 3" xfId="12362"/>
    <cellStyle name="数字 2 2 4 3 2" xfId="12363"/>
    <cellStyle name="数字 2 2 4 4" xfId="12364"/>
    <cellStyle name="数字 2 2 5" xfId="12365"/>
    <cellStyle name="数字 2 2 5 2" xfId="12366"/>
    <cellStyle name="数字 2 2 5 2 2" xfId="12367"/>
    <cellStyle name="数字 2 2 5 3" xfId="12368"/>
    <cellStyle name="数字 2 2 6" xfId="12369"/>
    <cellStyle name="数字 2 2 6 2" xfId="12370"/>
    <cellStyle name="数字 2 2 6 2 2" xfId="12371"/>
    <cellStyle name="数字 2 2 6 3" xfId="12372"/>
    <cellStyle name="数字 2 2 7" xfId="12373"/>
    <cellStyle name="数字 2 2 7 2" xfId="12374"/>
    <cellStyle name="数字 2 2 7 2 2" xfId="12375"/>
    <cellStyle name="数字 2 2 7 3" xfId="12376"/>
    <cellStyle name="数字 2 2 8" xfId="12377"/>
    <cellStyle name="数字 2 2 8 2" xfId="12378"/>
    <cellStyle name="数字 2 2 8 2 2" xfId="12379"/>
    <cellStyle name="数字 2 2 8 3" xfId="12380"/>
    <cellStyle name="数字 2 2 9" xfId="12381"/>
    <cellStyle name="数字 2 2 9 2" xfId="12382"/>
    <cellStyle name="数字 2 3" xfId="2369"/>
    <cellStyle name="数字 2 3 2" xfId="2370"/>
    <cellStyle name="数字 2 3 2 2" xfId="12383"/>
    <cellStyle name="数字 2 3 2 2 2" xfId="12384"/>
    <cellStyle name="数字 2 3 2 2 2 2" xfId="12385"/>
    <cellStyle name="数字 2 3 2 2 3" xfId="12386"/>
    <cellStyle name="数字 2 3 2 2 3 2" xfId="12387"/>
    <cellStyle name="数字 2 3 2 2 4" xfId="12388"/>
    <cellStyle name="数字 2 3 2 3" xfId="12389"/>
    <cellStyle name="数字 2 3 2 3 2" xfId="12390"/>
    <cellStyle name="数字 2 3 2 3 2 2" xfId="12391"/>
    <cellStyle name="数字 2 3 2 3 3" xfId="12392"/>
    <cellStyle name="数字 2 3 2 4" xfId="12393"/>
    <cellStyle name="数字 2 3 2 4 2" xfId="12394"/>
    <cellStyle name="数字 2 3 2 4 2 2" xfId="12395"/>
    <cellStyle name="数字 2 3 2 4 3" xfId="12396"/>
    <cellStyle name="数字 2 3 2 5" xfId="12397"/>
    <cellStyle name="数字 2 3 2 5 2" xfId="12398"/>
    <cellStyle name="数字 2 3 2 5 2 2" xfId="12399"/>
    <cellStyle name="数字 2 3 2 5 3" xfId="12400"/>
    <cellStyle name="数字 2 3 2 6" xfId="12401"/>
    <cellStyle name="数字 2 3 2 6 2" xfId="12402"/>
    <cellStyle name="数字 2 3 2 6 2 2" xfId="12403"/>
    <cellStyle name="数字 2 3 2 6 3" xfId="12404"/>
    <cellStyle name="数字 2 3 2 7" xfId="12405"/>
    <cellStyle name="数字 2 3 2 7 2" xfId="12406"/>
    <cellStyle name="数字 2 3 2 8" xfId="12407"/>
    <cellStyle name="数字 2 3 3" xfId="12408"/>
    <cellStyle name="数字 2 3 3 2" xfId="12409"/>
    <cellStyle name="数字 2 3 3 2 2" xfId="12410"/>
    <cellStyle name="数字 2 3 3 3" xfId="12411"/>
    <cellStyle name="数字 2 3 3 3 2" xfId="12412"/>
    <cellStyle name="数字 2 3 3 4" xfId="12413"/>
    <cellStyle name="数字 2 3 4" xfId="12414"/>
    <cellStyle name="数字 2 3 4 2" xfId="12415"/>
    <cellStyle name="数字 2 3 4 2 2" xfId="12416"/>
    <cellStyle name="数字 2 3 4 3" xfId="12417"/>
    <cellStyle name="数字 2 3 5" xfId="12418"/>
    <cellStyle name="数字 2 3 5 2" xfId="12419"/>
    <cellStyle name="数字 2 3 5 2 2" xfId="12420"/>
    <cellStyle name="数字 2 3 5 3" xfId="12421"/>
    <cellStyle name="数字 2 3 6" xfId="12422"/>
    <cellStyle name="数字 2 3 6 2" xfId="12423"/>
    <cellStyle name="数字 2 3 6 2 2" xfId="12424"/>
    <cellStyle name="数字 2 3 6 3" xfId="12425"/>
    <cellStyle name="数字 2 3 7" xfId="12426"/>
    <cellStyle name="数字 2 3 7 2" xfId="12427"/>
    <cellStyle name="数字 2 3 7 2 2" xfId="12428"/>
    <cellStyle name="数字 2 3 7 3" xfId="12429"/>
    <cellStyle name="数字 2 3 8" xfId="12430"/>
    <cellStyle name="数字 2 3 8 2" xfId="12431"/>
    <cellStyle name="数字 2 3 9" xfId="12432"/>
    <cellStyle name="数字 2 4" xfId="642"/>
    <cellStyle name="数字 2 4 2" xfId="12433"/>
    <cellStyle name="数字 2 4 2 2" xfId="12434"/>
    <cellStyle name="数字 2 4 2 2 2" xfId="12435"/>
    <cellStyle name="数字 2 4 2 3" xfId="12436"/>
    <cellStyle name="数字 2 4 2 3 2" xfId="12437"/>
    <cellStyle name="数字 2 4 2 4" xfId="12438"/>
    <cellStyle name="数字 2 4 3" xfId="12439"/>
    <cellStyle name="数字 2 4 3 2" xfId="12440"/>
    <cellStyle name="数字 2 4 3 2 2" xfId="12441"/>
    <cellStyle name="数字 2 4 3 3" xfId="12442"/>
    <cellStyle name="数字 2 4 4" xfId="12443"/>
    <cellStyle name="数字 2 4 4 2" xfId="12444"/>
    <cellStyle name="数字 2 4 4 2 2" xfId="12445"/>
    <cellStyle name="数字 2 4 4 3" xfId="12446"/>
    <cellStyle name="数字 2 4 5" xfId="12447"/>
    <cellStyle name="数字 2 4 5 2" xfId="12448"/>
    <cellStyle name="数字 2 4 5 2 2" xfId="12449"/>
    <cellStyle name="数字 2 4 5 3" xfId="12450"/>
    <cellStyle name="数字 2 4 6" xfId="12451"/>
    <cellStyle name="数字 2 4 6 2" xfId="12452"/>
    <cellStyle name="数字 2 4 6 2 2" xfId="12453"/>
    <cellStyle name="数字 2 4 6 3" xfId="12454"/>
    <cellStyle name="数字 2 4 7" xfId="12455"/>
    <cellStyle name="数字 2 4 7 2" xfId="12456"/>
    <cellStyle name="数字 2 4 8" xfId="12457"/>
    <cellStyle name="数字 2 5" xfId="12458"/>
    <cellStyle name="数字 2 5 2" xfId="12459"/>
    <cellStyle name="数字 2 5 2 2" xfId="12460"/>
    <cellStyle name="数字 2 5 3" xfId="12461"/>
    <cellStyle name="数字 2 5 3 2" xfId="12462"/>
    <cellStyle name="数字 2 5 4" xfId="12463"/>
    <cellStyle name="数字 2 6" xfId="12464"/>
    <cellStyle name="数字 2 6 2" xfId="12465"/>
    <cellStyle name="数字 2 6 2 2" xfId="12466"/>
    <cellStyle name="数字 2 6 3" xfId="12467"/>
    <cellStyle name="数字 2 7" xfId="12468"/>
    <cellStyle name="数字 2 7 2" xfId="12469"/>
    <cellStyle name="数字 2 7 2 2" xfId="12470"/>
    <cellStyle name="数字 2 7 3" xfId="12471"/>
    <cellStyle name="数字 2 8" xfId="12472"/>
    <cellStyle name="数字 2 8 2" xfId="12473"/>
    <cellStyle name="数字 2 8 2 2" xfId="12474"/>
    <cellStyle name="数字 2 8 3" xfId="12475"/>
    <cellStyle name="数字 2 9" xfId="12476"/>
    <cellStyle name="数字 2 9 2" xfId="12477"/>
    <cellStyle name="数字 2 9 2 2" xfId="12478"/>
    <cellStyle name="数字 2 9 3" xfId="12479"/>
    <cellStyle name="数字 3" xfId="2371"/>
    <cellStyle name="数字 3 10" xfId="12480"/>
    <cellStyle name="数字 3 2" xfId="2372"/>
    <cellStyle name="数字 3 2 2" xfId="2373"/>
    <cellStyle name="数字 3 2 2 2" xfId="12481"/>
    <cellStyle name="数字 3 2 2 2 2" xfId="12482"/>
    <cellStyle name="数字 3 2 2 2 2 2" xfId="12483"/>
    <cellStyle name="数字 3 2 2 2 3" xfId="12484"/>
    <cellStyle name="数字 3 2 2 2 3 2" xfId="12485"/>
    <cellStyle name="数字 3 2 2 2 4" xfId="12486"/>
    <cellStyle name="数字 3 2 2 3" xfId="12487"/>
    <cellStyle name="数字 3 2 2 3 2" xfId="12488"/>
    <cellStyle name="数字 3 2 2 3 2 2" xfId="12489"/>
    <cellStyle name="数字 3 2 2 3 3" xfId="12490"/>
    <cellStyle name="数字 3 2 2 4" xfId="12491"/>
    <cellStyle name="数字 3 2 2 4 2" xfId="12492"/>
    <cellStyle name="数字 3 2 2 4 2 2" xfId="12493"/>
    <cellStyle name="数字 3 2 2 4 3" xfId="12494"/>
    <cellStyle name="数字 3 2 2 5" xfId="12495"/>
    <cellStyle name="数字 3 2 2 5 2" xfId="12496"/>
    <cellStyle name="数字 3 2 2 5 2 2" xfId="12497"/>
    <cellStyle name="数字 3 2 2 5 3" xfId="12498"/>
    <cellStyle name="数字 3 2 2 6" xfId="12499"/>
    <cellStyle name="数字 3 2 2 6 2" xfId="12500"/>
    <cellStyle name="数字 3 2 2 6 2 2" xfId="12501"/>
    <cellStyle name="数字 3 2 2 6 3" xfId="12502"/>
    <cellStyle name="数字 3 2 2 7" xfId="12503"/>
    <cellStyle name="数字 3 2 2 7 2" xfId="12504"/>
    <cellStyle name="数字 3 2 2 8" xfId="12505"/>
    <cellStyle name="数字 3 2 3" xfId="12506"/>
    <cellStyle name="数字 3 2 3 2" xfId="12507"/>
    <cellStyle name="数字 3 2 3 2 2" xfId="12508"/>
    <cellStyle name="数字 3 2 3 3" xfId="12509"/>
    <cellStyle name="数字 3 2 3 3 2" xfId="12510"/>
    <cellStyle name="数字 3 2 3 4" xfId="12511"/>
    <cellStyle name="数字 3 2 4" xfId="12512"/>
    <cellStyle name="数字 3 2 4 2" xfId="12513"/>
    <cellStyle name="数字 3 2 4 2 2" xfId="12514"/>
    <cellStyle name="数字 3 2 4 3" xfId="12515"/>
    <cellStyle name="数字 3 2 5" xfId="12516"/>
    <cellStyle name="数字 3 2 5 2" xfId="12517"/>
    <cellStyle name="数字 3 2 5 2 2" xfId="12518"/>
    <cellStyle name="数字 3 2 5 3" xfId="12519"/>
    <cellStyle name="数字 3 2 6" xfId="12520"/>
    <cellStyle name="数字 3 2 6 2" xfId="12521"/>
    <cellStyle name="数字 3 2 6 2 2" xfId="12522"/>
    <cellStyle name="数字 3 2 6 3" xfId="12523"/>
    <cellStyle name="数字 3 2 7" xfId="12524"/>
    <cellStyle name="数字 3 2 7 2" xfId="12525"/>
    <cellStyle name="数字 3 2 7 2 2" xfId="12526"/>
    <cellStyle name="数字 3 2 7 3" xfId="12527"/>
    <cellStyle name="数字 3 2 8" xfId="12528"/>
    <cellStyle name="数字 3 2 8 2" xfId="12529"/>
    <cellStyle name="数字 3 2 9" xfId="12530"/>
    <cellStyle name="数字 3 3" xfId="2374"/>
    <cellStyle name="数字 3 3 2" xfId="12531"/>
    <cellStyle name="数字 3 3 2 2" xfId="12532"/>
    <cellStyle name="数字 3 3 2 2 2" xfId="12533"/>
    <cellStyle name="数字 3 3 2 3" xfId="12534"/>
    <cellStyle name="数字 3 3 2 3 2" xfId="12535"/>
    <cellStyle name="数字 3 3 2 4" xfId="12536"/>
    <cellStyle name="数字 3 3 3" xfId="12537"/>
    <cellStyle name="数字 3 3 3 2" xfId="12538"/>
    <cellStyle name="数字 3 3 3 2 2" xfId="12539"/>
    <cellStyle name="数字 3 3 3 3" xfId="12540"/>
    <cellStyle name="数字 3 3 4" xfId="12541"/>
    <cellStyle name="数字 3 3 4 2" xfId="12542"/>
    <cellStyle name="数字 3 3 4 2 2" xfId="12543"/>
    <cellStyle name="数字 3 3 4 3" xfId="12544"/>
    <cellStyle name="数字 3 3 5" xfId="12545"/>
    <cellStyle name="数字 3 3 5 2" xfId="12546"/>
    <cellStyle name="数字 3 3 5 2 2" xfId="12547"/>
    <cellStyle name="数字 3 3 5 3" xfId="12548"/>
    <cellStyle name="数字 3 3 6" xfId="12549"/>
    <cellStyle name="数字 3 3 6 2" xfId="12550"/>
    <cellStyle name="数字 3 3 6 2 2" xfId="12551"/>
    <cellStyle name="数字 3 3 6 3" xfId="12552"/>
    <cellStyle name="数字 3 3 7" xfId="12553"/>
    <cellStyle name="数字 3 3 7 2" xfId="12554"/>
    <cellStyle name="数字 3 3 8" xfId="12555"/>
    <cellStyle name="数字 3 4" xfId="12556"/>
    <cellStyle name="数字 3 4 2" xfId="12557"/>
    <cellStyle name="数字 3 4 2 2" xfId="12558"/>
    <cellStyle name="数字 3 4 3" xfId="12559"/>
    <cellStyle name="数字 3 4 3 2" xfId="12560"/>
    <cellStyle name="数字 3 4 4" xfId="12561"/>
    <cellStyle name="数字 3 5" xfId="12562"/>
    <cellStyle name="数字 3 5 2" xfId="12563"/>
    <cellStyle name="数字 3 5 2 2" xfId="12564"/>
    <cellStyle name="数字 3 5 3" xfId="12565"/>
    <cellStyle name="数字 3 6" xfId="12566"/>
    <cellStyle name="数字 3 6 2" xfId="12567"/>
    <cellStyle name="数字 3 6 2 2" xfId="12568"/>
    <cellStyle name="数字 3 6 3" xfId="12569"/>
    <cellStyle name="数字 3 7" xfId="12570"/>
    <cellStyle name="数字 3 7 2" xfId="12571"/>
    <cellStyle name="数字 3 7 2 2" xfId="12572"/>
    <cellStyle name="数字 3 7 3" xfId="12573"/>
    <cellStyle name="数字 3 8" xfId="12574"/>
    <cellStyle name="数字 3 8 2" xfId="12575"/>
    <cellStyle name="数字 3 8 2 2" xfId="12576"/>
    <cellStyle name="数字 3 8 3" xfId="12577"/>
    <cellStyle name="数字 3 9" xfId="12578"/>
    <cellStyle name="数字 3 9 2" xfId="12579"/>
    <cellStyle name="数字 4" xfId="2375"/>
    <cellStyle name="数字 4 2" xfId="2376"/>
    <cellStyle name="数字 4 2 2" xfId="12580"/>
    <cellStyle name="数字 4 2 2 2" xfId="12581"/>
    <cellStyle name="数字 4 2 2 2 2" xfId="12582"/>
    <cellStyle name="数字 4 2 2 3" xfId="12583"/>
    <cellStyle name="数字 4 2 2 3 2" xfId="12584"/>
    <cellStyle name="数字 4 2 2 4" xfId="12585"/>
    <cellStyle name="数字 4 2 3" xfId="12586"/>
    <cellStyle name="数字 4 2 3 2" xfId="12587"/>
    <cellStyle name="数字 4 2 3 2 2" xfId="12588"/>
    <cellStyle name="数字 4 2 3 3" xfId="12589"/>
    <cellStyle name="数字 4 2 4" xfId="12590"/>
    <cellStyle name="数字 4 2 4 2" xfId="12591"/>
    <cellStyle name="数字 4 2 4 2 2" xfId="12592"/>
    <cellStyle name="数字 4 2 4 3" xfId="12593"/>
    <cellStyle name="数字 4 2 5" xfId="12594"/>
    <cellStyle name="数字 4 2 5 2" xfId="12595"/>
    <cellStyle name="数字 4 2 5 2 2" xfId="12596"/>
    <cellStyle name="数字 4 2 5 3" xfId="12597"/>
    <cellStyle name="数字 4 2 6" xfId="12598"/>
    <cellStyle name="数字 4 2 6 2" xfId="12599"/>
    <cellStyle name="数字 4 2 6 2 2" xfId="12600"/>
    <cellStyle name="数字 4 2 6 3" xfId="12601"/>
    <cellStyle name="数字 4 2 7" xfId="12602"/>
    <cellStyle name="数字 4 2 7 2" xfId="12603"/>
    <cellStyle name="数字 4 2 8" xfId="12604"/>
    <cellStyle name="数字 4 3" xfId="12605"/>
    <cellStyle name="数字 4 3 2" xfId="12606"/>
    <cellStyle name="数字 4 3 2 2" xfId="12607"/>
    <cellStyle name="数字 4 3 3" xfId="12608"/>
    <cellStyle name="数字 4 3 3 2" xfId="12609"/>
    <cellStyle name="数字 4 3 4" xfId="12610"/>
    <cellStyle name="数字 4 4" xfId="12611"/>
    <cellStyle name="数字 4 4 2" xfId="12612"/>
    <cellStyle name="数字 4 4 2 2" xfId="12613"/>
    <cellStyle name="数字 4 4 3" xfId="12614"/>
    <cellStyle name="数字 4 5" xfId="12615"/>
    <cellStyle name="数字 4 5 2" xfId="12616"/>
    <cellStyle name="数字 4 5 2 2" xfId="12617"/>
    <cellStyle name="数字 4 5 3" xfId="12618"/>
    <cellStyle name="数字 4 6" xfId="12619"/>
    <cellStyle name="数字 4 6 2" xfId="12620"/>
    <cellStyle name="数字 4 6 2 2" xfId="12621"/>
    <cellStyle name="数字 4 6 3" xfId="12622"/>
    <cellStyle name="数字 4 7" xfId="12623"/>
    <cellStyle name="数字 4 7 2" xfId="12624"/>
    <cellStyle name="数字 4 7 2 2" xfId="12625"/>
    <cellStyle name="数字 4 7 3" xfId="12626"/>
    <cellStyle name="数字 4 8" xfId="12627"/>
    <cellStyle name="数字 4 8 2" xfId="12628"/>
    <cellStyle name="数字 4 9" xfId="12629"/>
    <cellStyle name="数字 5" xfId="2377"/>
    <cellStyle name="数字 5 2" xfId="12630"/>
    <cellStyle name="数字 5 2 2" xfId="12631"/>
    <cellStyle name="数字 5 2 2 2" xfId="12632"/>
    <cellStyle name="数字 5 2 3" xfId="12633"/>
    <cellStyle name="数字 5 2 3 2" xfId="12634"/>
    <cellStyle name="数字 5 2 4" xfId="12635"/>
    <cellStyle name="数字 5 3" xfId="12636"/>
    <cellStyle name="数字 5 3 2" xfId="12637"/>
    <cellStyle name="数字 5 3 2 2" xfId="12638"/>
    <cellStyle name="数字 5 3 3" xfId="12639"/>
    <cellStyle name="数字 5 4" xfId="12640"/>
    <cellStyle name="数字 5 4 2" xfId="12641"/>
    <cellStyle name="数字 5 4 2 2" xfId="12642"/>
    <cellStyle name="数字 5 4 3" xfId="12643"/>
    <cellStyle name="数字 5 5" xfId="12644"/>
    <cellStyle name="数字 5 5 2" xfId="12645"/>
    <cellStyle name="数字 5 5 2 2" xfId="12646"/>
    <cellStyle name="数字 5 5 3" xfId="12647"/>
    <cellStyle name="数字 5 6" xfId="12648"/>
    <cellStyle name="数字 5 6 2" xfId="12649"/>
    <cellStyle name="数字 5 6 2 2" xfId="12650"/>
    <cellStyle name="数字 5 6 3" xfId="12651"/>
    <cellStyle name="数字 5 7" xfId="12652"/>
    <cellStyle name="数字 5 7 2" xfId="12653"/>
    <cellStyle name="数字 5 8" xfId="12654"/>
    <cellStyle name="数字 6" xfId="12655"/>
    <cellStyle name="数字 6 2" xfId="12656"/>
    <cellStyle name="数字 6 2 2" xfId="12657"/>
    <cellStyle name="数字 6 3" xfId="12658"/>
    <cellStyle name="数字 6 3 2" xfId="12659"/>
    <cellStyle name="数字 6 4" xfId="12660"/>
    <cellStyle name="数字 7" xfId="12661"/>
    <cellStyle name="数字 7 2" xfId="12662"/>
    <cellStyle name="数字 7 2 2" xfId="12663"/>
    <cellStyle name="数字 7 3" xfId="12664"/>
    <cellStyle name="数字 8" xfId="12665"/>
    <cellStyle name="数字 8 2" xfId="12666"/>
    <cellStyle name="数字 8 2 2" xfId="12667"/>
    <cellStyle name="数字 8 3" xfId="12668"/>
    <cellStyle name="数字 9" xfId="12669"/>
    <cellStyle name="数字 9 2" xfId="12670"/>
    <cellStyle name="数字 9 2 2" xfId="12671"/>
    <cellStyle name="数字 9 3" xfId="12672"/>
    <cellStyle name="未定义" xfId="2378"/>
    <cellStyle name="未定义 2" xfId="4947"/>
    <cellStyle name="未定义 3" xfId="12673"/>
    <cellStyle name="未定义 4" xfId="12674"/>
    <cellStyle name="未定义 4 2" xfId="12675"/>
    <cellStyle name="小数" xfId="2379"/>
    <cellStyle name="小数 10" xfId="12676"/>
    <cellStyle name="小数 10 2" xfId="12677"/>
    <cellStyle name="小数 10 2 2" xfId="12678"/>
    <cellStyle name="小数 10 3" xfId="12679"/>
    <cellStyle name="小数 11" xfId="12680"/>
    <cellStyle name="小数 11 2" xfId="12681"/>
    <cellStyle name="小数 12" xfId="12682"/>
    <cellStyle name="小数 2" xfId="2065"/>
    <cellStyle name="小数 2 10" xfId="12683"/>
    <cellStyle name="小数 2 10 2" xfId="12684"/>
    <cellStyle name="小数 2 11" xfId="12685"/>
    <cellStyle name="小数 2 2" xfId="2067"/>
    <cellStyle name="小数 2 2 10" xfId="12686"/>
    <cellStyle name="小数 2 2 2" xfId="1160"/>
    <cellStyle name="小数 2 2 2 2" xfId="1164"/>
    <cellStyle name="小数 2 2 2 2 2" xfId="12687"/>
    <cellStyle name="小数 2 2 2 2 2 2" xfId="12688"/>
    <cellStyle name="小数 2 2 2 2 2 2 2" xfId="12689"/>
    <cellStyle name="小数 2 2 2 2 2 3" xfId="12690"/>
    <cellStyle name="小数 2 2 2 2 2 3 2" xfId="12691"/>
    <cellStyle name="小数 2 2 2 2 2 4" xfId="12692"/>
    <cellStyle name="小数 2 2 2 2 3" xfId="12693"/>
    <cellStyle name="小数 2 2 2 2 3 2" xfId="12694"/>
    <cellStyle name="小数 2 2 2 2 3 2 2" xfId="12695"/>
    <cellStyle name="小数 2 2 2 2 3 3" xfId="12696"/>
    <cellStyle name="小数 2 2 2 2 4" xfId="12697"/>
    <cellStyle name="小数 2 2 2 2 4 2" xfId="12698"/>
    <cellStyle name="小数 2 2 2 2 4 2 2" xfId="12699"/>
    <cellStyle name="小数 2 2 2 2 4 3" xfId="12700"/>
    <cellStyle name="小数 2 2 2 2 5" xfId="12701"/>
    <cellStyle name="小数 2 2 2 2 5 2" xfId="12702"/>
    <cellStyle name="小数 2 2 2 2 5 2 2" xfId="12703"/>
    <cellStyle name="小数 2 2 2 2 5 3" xfId="12704"/>
    <cellStyle name="小数 2 2 2 2 6" xfId="12705"/>
    <cellStyle name="小数 2 2 2 2 6 2" xfId="12706"/>
    <cellStyle name="小数 2 2 2 2 6 2 2" xfId="12707"/>
    <cellStyle name="小数 2 2 2 2 6 3" xfId="12708"/>
    <cellStyle name="小数 2 2 2 2 7" xfId="12709"/>
    <cellStyle name="小数 2 2 2 2 7 2" xfId="12710"/>
    <cellStyle name="小数 2 2 2 2 8" xfId="12711"/>
    <cellStyle name="小数 2 2 2 3" xfId="12712"/>
    <cellStyle name="小数 2 2 2 3 2" xfId="12713"/>
    <cellStyle name="小数 2 2 2 3 2 2" xfId="12714"/>
    <cellStyle name="小数 2 2 2 3 3" xfId="12715"/>
    <cellStyle name="小数 2 2 2 3 3 2" xfId="12716"/>
    <cellStyle name="小数 2 2 2 3 4" xfId="12717"/>
    <cellStyle name="小数 2 2 2 4" xfId="12718"/>
    <cellStyle name="小数 2 2 2 4 2" xfId="12719"/>
    <cellStyle name="小数 2 2 2 4 2 2" xfId="12720"/>
    <cellStyle name="小数 2 2 2 4 3" xfId="12721"/>
    <cellStyle name="小数 2 2 2 5" xfId="12722"/>
    <cellStyle name="小数 2 2 2 5 2" xfId="12723"/>
    <cellStyle name="小数 2 2 2 5 2 2" xfId="12724"/>
    <cellStyle name="小数 2 2 2 5 3" xfId="12725"/>
    <cellStyle name="小数 2 2 2 6" xfId="12726"/>
    <cellStyle name="小数 2 2 2 6 2" xfId="12727"/>
    <cellStyle name="小数 2 2 2 6 2 2" xfId="12728"/>
    <cellStyle name="小数 2 2 2 6 3" xfId="12729"/>
    <cellStyle name="小数 2 2 2 7" xfId="12730"/>
    <cellStyle name="小数 2 2 2 7 2" xfId="12731"/>
    <cellStyle name="小数 2 2 2 7 2 2" xfId="12732"/>
    <cellStyle name="小数 2 2 2 7 3" xfId="12733"/>
    <cellStyle name="小数 2 2 2 8" xfId="12734"/>
    <cellStyle name="小数 2 2 2 8 2" xfId="12735"/>
    <cellStyle name="小数 2 2 2 9" xfId="12736"/>
    <cellStyle name="小数 2 2 3" xfId="1166"/>
    <cellStyle name="小数 2 2 3 2" xfId="12737"/>
    <cellStyle name="小数 2 2 3 2 2" xfId="12738"/>
    <cellStyle name="小数 2 2 3 2 2 2" xfId="12739"/>
    <cellStyle name="小数 2 2 3 2 3" xfId="12740"/>
    <cellStyle name="小数 2 2 3 2 3 2" xfId="12741"/>
    <cellStyle name="小数 2 2 3 2 4" xfId="12742"/>
    <cellStyle name="小数 2 2 3 3" xfId="12743"/>
    <cellStyle name="小数 2 2 3 3 2" xfId="12744"/>
    <cellStyle name="小数 2 2 3 3 2 2" xfId="12745"/>
    <cellStyle name="小数 2 2 3 3 3" xfId="12746"/>
    <cellStyle name="小数 2 2 3 4" xfId="12747"/>
    <cellStyle name="小数 2 2 3 4 2" xfId="12748"/>
    <cellStyle name="小数 2 2 3 4 2 2" xfId="12749"/>
    <cellStyle name="小数 2 2 3 4 3" xfId="12750"/>
    <cellStyle name="小数 2 2 3 5" xfId="12751"/>
    <cellStyle name="小数 2 2 3 5 2" xfId="12752"/>
    <cellStyle name="小数 2 2 3 5 2 2" xfId="12753"/>
    <cellStyle name="小数 2 2 3 5 3" xfId="12754"/>
    <cellStyle name="小数 2 2 3 6" xfId="12755"/>
    <cellStyle name="小数 2 2 3 6 2" xfId="12756"/>
    <cellStyle name="小数 2 2 3 6 2 2" xfId="12757"/>
    <cellStyle name="小数 2 2 3 6 3" xfId="12758"/>
    <cellStyle name="小数 2 2 3 7" xfId="12759"/>
    <cellStyle name="小数 2 2 3 7 2" xfId="12760"/>
    <cellStyle name="小数 2 2 3 8" xfId="12761"/>
    <cellStyle name="小数 2 2 4" xfId="12762"/>
    <cellStyle name="小数 2 2 4 2" xfId="12763"/>
    <cellStyle name="小数 2 2 4 2 2" xfId="12764"/>
    <cellStyle name="小数 2 2 4 3" xfId="12765"/>
    <cellStyle name="小数 2 2 4 3 2" xfId="12766"/>
    <cellStyle name="小数 2 2 4 4" xfId="12767"/>
    <cellStyle name="小数 2 2 5" xfId="12768"/>
    <cellStyle name="小数 2 2 5 2" xfId="12769"/>
    <cellStyle name="小数 2 2 5 2 2" xfId="12770"/>
    <cellStyle name="小数 2 2 5 3" xfId="12771"/>
    <cellStyle name="小数 2 2 6" xfId="12772"/>
    <cellStyle name="小数 2 2 6 2" xfId="12773"/>
    <cellStyle name="小数 2 2 6 2 2" xfId="12774"/>
    <cellStyle name="小数 2 2 6 3" xfId="12775"/>
    <cellStyle name="小数 2 2 7" xfId="12776"/>
    <cellStyle name="小数 2 2 7 2" xfId="12777"/>
    <cellStyle name="小数 2 2 7 2 2" xfId="12778"/>
    <cellStyle name="小数 2 2 7 3" xfId="12779"/>
    <cellStyle name="小数 2 2 8" xfId="12780"/>
    <cellStyle name="小数 2 2 8 2" xfId="12781"/>
    <cellStyle name="小数 2 2 8 2 2" xfId="12782"/>
    <cellStyle name="小数 2 2 8 3" xfId="12783"/>
    <cellStyle name="小数 2 2 9" xfId="12784"/>
    <cellStyle name="小数 2 2 9 2" xfId="12785"/>
    <cellStyle name="小数 2 3" xfId="2069"/>
    <cellStyle name="小数 2 3 2" xfId="1172"/>
    <cellStyle name="小数 2 3 2 2" xfId="12786"/>
    <cellStyle name="小数 2 3 2 2 2" xfId="12787"/>
    <cellStyle name="小数 2 3 2 2 2 2" xfId="12788"/>
    <cellStyle name="小数 2 3 2 2 3" xfId="12789"/>
    <cellStyle name="小数 2 3 2 2 3 2" xfId="12790"/>
    <cellStyle name="小数 2 3 2 2 4" xfId="12791"/>
    <cellStyle name="小数 2 3 2 3" xfId="12792"/>
    <cellStyle name="小数 2 3 2 3 2" xfId="12793"/>
    <cellStyle name="小数 2 3 2 3 2 2" xfId="12794"/>
    <cellStyle name="小数 2 3 2 3 3" xfId="12795"/>
    <cellStyle name="小数 2 3 2 4" xfId="12796"/>
    <cellStyle name="小数 2 3 2 4 2" xfId="12797"/>
    <cellStyle name="小数 2 3 2 4 2 2" xfId="12798"/>
    <cellStyle name="小数 2 3 2 4 3" xfId="12799"/>
    <cellStyle name="小数 2 3 2 5" xfId="12800"/>
    <cellStyle name="小数 2 3 2 5 2" xfId="12801"/>
    <cellStyle name="小数 2 3 2 5 2 2" xfId="12802"/>
    <cellStyle name="小数 2 3 2 5 3" xfId="12803"/>
    <cellStyle name="小数 2 3 2 6" xfId="12804"/>
    <cellStyle name="小数 2 3 2 6 2" xfId="12805"/>
    <cellStyle name="小数 2 3 2 6 2 2" xfId="12806"/>
    <cellStyle name="小数 2 3 2 6 3" xfId="12807"/>
    <cellStyle name="小数 2 3 2 7" xfId="12808"/>
    <cellStyle name="小数 2 3 2 7 2" xfId="12809"/>
    <cellStyle name="小数 2 3 2 8" xfId="12810"/>
    <cellStyle name="小数 2 3 3" xfId="12811"/>
    <cellStyle name="小数 2 3 3 2" xfId="12812"/>
    <cellStyle name="小数 2 3 3 2 2" xfId="12813"/>
    <cellStyle name="小数 2 3 3 3" xfId="12814"/>
    <cellStyle name="小数 2 3 3 3 2" xfId="12815"/>
    <cellStyle name="小数 2 3 3 4" xfId="12816"/>
    <cellStyle name="小数 2 3 4" xfId="12817"/>
    <cellStyle name="小数 2 3 4 2" xfId="12818"/>
    <cellStyle name="小数 2 3 4 2 2" xfId="12819"/>
    <cellStyle name="小数 2 3 4 3" xfId="12820"/>
    <cellStyle name="小数 2 3 5" xfId="12821"/>
    <cellStyle name="小数 2 3 5 2" xfId="12822"/>
    <cellStyle name="小数 2 3 5 2 2" xfId="12823"/>
    <cellStyle name="小数 2 3 5 3" xfId="12824"/>
    <cellStyle name="小数 2 3 6" xfId="12825"/>
    <cellStyle name="小数 2 3 6 2" xfId="12826"/>
    <cellStyle name="小数 2 3 6 2 2" xfId="12827"/>
    <cellStyle name="小数 2 3 6 3" xfId="12828"/>
    <cellStyle name="小数 2 3 7" xfId="12829"/>
    <cellStyle name="小数 2 3 7 2" xfId="12830"/>
    <cellStyle name="小数 2 3 7 2 2" xfId="12831"/>
    <cellStyle name="小数 2 3 7 3" xfId="12832"/>
    <cellStyle name="小数 2 3 8" xfId="12833"/>
    <cellStyle name="小数 2 3 8 2" xfId="12834"/>
    <cellStyle name="小数 2 3 9" xfId="12835"/>
    <cellStyle name="小数 2 4" xfId="2380"/>
    <cellStyle name="小数 2 4 2" xfId="12836"/>
    <cellStyle name="小数 2 4 2 2" xfId="12837"/>
    <cellStyle name="小数 2 4 2 2 2" xfId="12838"/>
    <cellStyle name="小数 2 4 2 3" xfId="12839"/>
    <cellStyle name="小数 2 4 2 3 2" xfId="12840"/>
    <cellStyle name="小数 2 4 2 4" xfId="12841"/>
    <cellStyle name="小数 2 4 3" xfId="12842"/>
    <cellStyle name="小数 2 4 3 2" xfId="12843"/>
    <cellStyle name="小数 2 4 3 2 2" xfId="12844"/>
    <cellStyle name="小数 2 4 3 3" xfId="12845"/>
    <cellStyle name="小数 2 4 4" xfId="12846"/>
    <cellStyle name="小数 2 4 4 2" xfId="12847"/>
    <cellStyle name="小数 2 4 4 2 2" xfId="12848"/>
    <cellStyle name="小数 2 4 4 3" xfId="12849"/>
    <cellStyle name="小数 2 4 5" xfId="12850"/>
    <cellStyle name="小数 2 4 5 2" xfId="12851"/>
    <cellStyle name="小数 2 4 5 2 2" xfId="12852"/>
    <cellStyle name="小数 2 4 5 3" xfId="12853"/>
    <cellStyle name="小数 2 4 6" xfId="12854"/>
    <cellStyle name="小数 2 4 6 2" xfId="12855"/>
    <cellStyle name="小数 2 4 6 2 2" xfId="12856"/>
    <cellStyle name="小数 2 4 6 3" xfId="12857"/>
    <cellStyle name="小数 2 4 7" xfId="12858"/>
    <cellStyle name="小数 2 4 7 2" xfId="12859"/>
    <cellStyle name="小数 2 4 8" xfId="12860"/>
    <cellStyle name="小数 2 5" xfId="12861"/>
    <cellStyle name="小数 2 5 2" xfId="12862"/>
    <cellStyle name="小数 2 5 2 2" xfId="12863"/>
    <cellStyle name="小数 2 5 3" xfId="12864"/>
    <cellStyle name="小数 2 5 3 2" xfId="12865"/>
    <cellStyle name="小数 2 5 4" xfId="12866"/>
    <cellStyle name="小数 2 6" xfId="12867"/>
    <cellStyle name="小数 2 6 2" xfId="12868"/>
    <cellStyle name="小数 2 6 2 2" xfId="12869"/>
    <cellStyle name="小数 2 6 3" xfId="12870"/>
    <cellStyle name="小数 2 7" xfId="12871"/>
    <cellStyle name="小数 2 7 2" xfId="12872"/>
    <cellStyle name="小数 2 7 2 2" xfId="12873"/>
    <cellStyle name="小数 2 7 3" xfId="12874"/>
    <cellStyle name="小数 2 8" xfId="12875"/>
    <cellStyle name="小数 2 8 2" xfId="12876"/>
    <cellStyle name="小数 2 8 2 2" xfId="12877"/>
    <cellStyle name="小数 2 8 3" xfId="12878"/>
    <cellStyle name="小数 2 9" xfId="12879"/>
    <cellStyle name="小数 2 9 2" xfId="12880"/>
    <cellStyle name="小数 2 9 2 2" xfId="12881"/>
    <cellStyle name="小数 2 9 3" xfId="12882"/>
    <cellStyle name="小数 3" xfId="2071"/>
    <cellStyle name="小数 3 10" xfId="12883"/>
    <cellStyle name="小数 3 2" xfId="2073"/>
    <cellStyle name="小数 3 2 2" xfId="2075"/>
    <cellStyle name="小数 3 2 2 2" xfId="12884"/>
    <cellStyle name="小数 3 2 2 2 2" xfId="12885"/>
    <cellStyle name="小数 3 2 2 2 2 2" xfId="12886"/>
    <cellStyle name="小数 3 2 2 2 3" xfId="12887"/>
    <cellStyle name="小数 3 2 2 2 3 2" xfId="12888"/>
    <cellStyle name="小数 3 2 2 2 4" xfId="12889"/>
    <cellStyle name="小数 3 2 2 3" xfId="12890"/>
    <cellStyle name="小数 3 2 2 3 2" xfId="12891"/>
    <cellStyle name="小数 3 2 2 3 2 2" xfId="12892"/>
    <cellStyle name="小数 3 2 2 3 3" xfId="12893"/>
    <cellStyle name="小数 3 2 2 4" xfId="12894"/>
    <cellStyle name="小数 3 2 2 4 2" xfId="12895"/>
    <cellStyle name="小数 3 2 2 4 2 2" xfId="12896"/>
    <cellStyle name="小数 3 2 2 4 3" xfId="12897"/>
    <cellStyle name="小数 3 2 2 5" xfId="12898"/>
    <cellStyle name="小数 3 2 2 5 2" xfId="12899"/>
    <cellStyle name="小数 3 2 2 5 2 2" xfId="12900"/>
    <cellStyle name="小数 3 2 2 5 3" xfId="12901"/>
    <cellStyle name="小数 3 2 2 6" xfId="12902"/>
    <cellStyle name="小数 3 2 2 6 2" xfId="12903"/>
    <cellStyle name="小数 3 2 2 6 2 2" xfId="12904"/>
    <cellStyle name="小数 3 2 2 6 3" xfId="12905"/>
    <cellStyle name="小数 3 2 2 7" xfId="12906"/>
    <cellStyle name="小数 3 2 2 7 2" xfId="12907"/>
    <cellStyle name="小数 3 2 2 8" xfId="12908"/>
    <cellStyle name="小数 3 2 3" xfId="12909"/>
    <cellStyle name="小数 3 2 3 2" xfId="12910"/>
    <cellStyle name="小数 3 2 3 2 2" xfId="12911"/>
    <cellStyle name="小数 3 2 3 3" xfId="12912"/>
    <cellStyle name="小数 3 2 3 3 2" xfId="12913"/>
    <cellStyle name="小数 3 2 3 4" xfId="12914"/>
    <cellStyle name="小数 3 2 4" xfId="12915"/>
    <cellStyle name="小数 3 2 4 2" xfId="12916"/>
    <cellStyle name="小数 3 2 4 2 2" xfId="12917"/>
    <cellStyle name="小数 3 2 4 3" xfId="12918"/>
    <cellStyle name="小数 3 2 5" xfId="12919"/>
    <cellStyle name="小数 3 2 5 2" xfId="12920"/>
    <cellStyle name="小数 3 2 5 2 2" xfId="12921"/>
    <cellStyle name="小数 3 2 5 3" xfId="12922"/>
    <cellStyle name="小数 3 2 6" xfId="12923"/>
    <cellStyle name="小数 3 2 6 2" xfId="12924"/>
    <cellStyle name="小数 3 2 6 2 2" xfId="12925"/>
    <cellStyle name="小数 3 2 6 3" xfId="12926"/>
    <cellStyle name="小数 3 2 7" xfId="12927"/>
    <cellStyle name="小数 3 2 7 2" xfId="12928"/>
    <cellStyle name="小数 3 2 7 2 2" xfId="12929"/>
    <cellStyle name="小数 3 2 7 3" xfId="12930"/>
    <cellStyle name="小数 3 2 8" xfId="12931"/>
    <cellStyle name="小数 3 2 8 2" xfId="12932"/>
    <cellStyle name="小数 3 2 9" xfId="12933"/>
    <cellStyle name="小数 3 3" xfId="2077"/>
    <cellStyle name="小数 3 3 2" xfId="12934"/>
    <cellStyle name="小数 3 3 2 2" xfId="12935"/>
    <cellStyle name="小数 3 3 2 2 2" xfId="12936"/>
    <cellStyle name="小数 3 3 2 3" xfId="12937"/>
    <cellStyle name="小数 3 3 2 3 2" xfId="12938"/>
    <cellStyle name="小数 3 3 2 4" xfId="12939"/>
    <cellStyle name="小数 3 3 3" xfId="12940"/>
    <cellStyle name="小数 3 3 3 2" xfId="12941"/>
    <cellStyle name="小数 3 3 3 2 2" xfId="12942"/>
    <cellStyle name="小数 3 3 3 3" xfId="12943"/>
    <cellStyle name="小数 3 3 4" xfId="12944"/>
    <cellStyle name="小数 3 3 4 2" xfId="12945"/>
    <cellStyle name="小数 3 3 4 2 2" xfId="12946"/>
    <cellStyle name="小数 3 3 4 3" xfId="12947"/>
    <cellStyle name="小数 3 3 5" xfId="12948"/>
    <cellStyle name="小数 3 3 5 2" xfId="12949"/>
    <cellStyle name="小数 3 3 5 2 2" xfId="12950"/>
    <cellStyle name="小数 3 3 5 3" xfId="12951"/>
    <cellStyle name="小数 3 3 6" xfId="12952"/>
    <cellStyle name="小数 3 3 6 2" xfId="12953"/>
    <cellStyle name="小数 3 3 6 2 2" xfId="12954"/>
    <cellStyle name="小数 3 3 6 3" xfId="12955"/>
    <cellStyle name="小数 3 3 7" xfId="12956"/>
    <cellStyle name="小数 3 3 7 2" xfId="12957"/>
    <cellStyle name="小数 3 3 8" xfId="12958"/>
    <cellStyle name="小数 3 4" xfId="12959"/>
    <cellStyle name="小数 3 4 2" xfId="12960"/>
    <cellStyle name="小数 3 4 2 2" xfId="12961"/>
    <cellStyle name="小数 3 4 3" xfId="12962"/>
    <cellStyle name="小数 3 4 3 2" xfId="12963"/>
    <cellStyle name="小数 3 4 4" xfId="12964"/>
    <cellStyle name="小数 3 5" xfId="12965"/>
    <cellStyle name="小数 3 5 2" xfId="12966"/>
    <cellStyle name="小数 3 5 2 2" xfId="12967"/>
    <cellStyle name="小数 3 5 3" xfId="12968"/>
    <cellStyle name="小数 3 6" xfId="12969"/>
    <cellStyle name="小数 3 6 2" xfId="12970"/>
    <cellStyle name="小数 3 6 2 2" xfId="12971"/>
    <cellStyle name="小数 3 6 3" xfId="12972"/>
    <cellStyle name="小数 3 7" xfId="12973"/>
    <cellStyle name="小数 3 7 2" xfId="12974"/>
    <cellStyle name="小数 3 7 2 2" xfId="12975"/>
    <cellStyle name="小数 3 7 3" xfId="12976"/>
    <cellStyle name="小数 3 8" xfId="12977"/>
    <cellStyle name="小数 3 8 2" xfId="12978"/>
    <cellStyle name="小数 3 8 2 2" xfId="12979"/>
    <cellStyle name="小数 3 8 3" xfId="12980"/>
    <cellStyle name="小数 3 9" xfId="12981"/>
    <cellStyle name="小数 3 9 2" xfId="12982"/>
    <cellStyle name="小数 4" xfId="1674"/>
    <cellStyle name="小数 4 2" xfId="2079"/>
    <cellStyle name="小数 4 2 2" xfId="12983"/>
    <cellStyle name="小数 4 2 2 2" xfId="12984"/>
    <cellStyle name="小数 4 2 2 2 2" xfId="12985"/>
    <cellStyle name="小数 4 2 2 3" xfId="12986"/>
    <cellStyle name="小数 4 2 2 3 2" xfId="12987"/>
    <cellStyle name="小数 4 2 2 4" xfId="12988"/>
    <cellStyle name="小数 4 2 3" xfId="12989"/>
    <cellStyle name="小数 4 2 3 2" xfId="12990"/>
    <cellStyle name="小数 4 2 3 2 2" xfId="12991"/>
    <cellStyle name="小数 4 2 3 3" xfId="12992"/>
    <cellStyle name="小数 4 2 4" xfId="12993"/>
    <cellStyle name="小数 4 2 4 2" xfId="12994"/>
    <cellStyle name="小数 4 2 4 2 2" xfId="12995"/>
    <cellStyle name="小数 4 2 4 3" xfId="12996"/>
    <cellStyle name="小数 4 2 5" xfId="12997"/>
    <cellStyle name="小数 4 2 5 2" xfId="12998"/>
    <cellStyle name="小数 4 2 5 2 2" xfId="12999"/>
    <cellStyle name="小数 4 2 5 3" xfId="13000"/>
    <cellStyle name="小数 4 2 6" xfId="13001"/>
    <cellStyle name="小数 4 2 6 2" xfId="13002"/>
    <cellStyle name="小数 4 2 6 2 2" xfId="13003"/>
    <cellStyle name="小数 4 2 6 3" xfId="13004"/>
    <cellStyle name="小数 4 2 7" xfId="13005"/>
    <cellStyle name="小数 4 2 7 2" xfId="13006"/>
    <cellStyle name="小数 4 2 8" xfId="13007"/>
    <cellStyle name="小数 4 3" xfId="13008"/>
    <cellStyle name="小数 4 3 2" xfId="13009"/>
    <cellStyle name="小数 4 3 2 2" xfId="13010"/>
    <cellStyle name="小数 4 3 3" xfId="13011"/>
    <cellStyle name="小数 4 3 3 2" xfId="13012"/>
    <cellStyle name="小数 4 3 4" xfId="13013"/>
    <cellStyle name="小数 4 4" xfId="13014"/>
    <cellStyle name="小数 4 4 2" xfId="13015"/>
    <cellStyle name="小数 4 4 2 2" xfId="13016"/>
    <cellStyle name="小数 4 4 3" xfId="13017"/>
    <cellStyle name="小数 4 5" xfId="13018"/>
    <cellStyle name="小数 4 5 2" xfId="13019"/>
    <cellStyle name="小数 4 5 2 2" xfId="13020"/>
    <cellStyle name="小数 4 5 3" xfId="13021"/>
    <cellStyle name="小数 4 6" xfId="13022"/>
    <cellStyle name="小数 4 6 2" xfId="13023"/>
    <cellStyle name="小数 4 6 2 2" xfId="13024"/>
    <cellStyle name="小数 4 6 3" xfId="13025"/>
    <cellStyle name="小数 4 7" xfId="13026"/>
    <cellStyle name="小数 4 7 2" xfId="13027"/>
    <cellStyle name="小数 4 7 2 2" xfId="13028"/>
    <cellStyle name="小数 4 7 3" xfId="13029"/>
    <cellStyle name="小数 4 8" xfId="13030"/>
    <cellStyle name="小数 4 8 2" xfId="13031"/>
    <cellStyle name="小数 4 9" xfId="13032"/>
    <cellStyle name="小数 5" xfId="2081"/>
    <cellStyle name="小数 5 2" xfId="13033"/>
    <cellStyle name="小数 5 2 2" xfId="13034"/>
    <cellStyle name="小数 5 2 2 2" xfId="13035"/>
    <cellStyle name="小数 5 2 3" xfId="13036"/>
    <cellStyle name="小数 5 2 3 2" xfId="13037"/>
    <cellStyle name="小数 5 2 4" xfId="13038"/>
    <cellStyle name="小数 5 3" xfId="13039"/>
    <cellStyle name="小数 5 3 2" xfId="13040"/>
    <cellStyle name="小数 5 3 2 2" xfId="13041"/>
    <cellStyle name="小数 5 3 3" xfId="13042"/>
    <cellStyle name="小数 5 4" xfId="13043"/>
    <cellStyle name="小数 5 4 2" xfId="13044"/>
    <cellStyle name="小数 5 4 2 2" xfId="13045"/>
    <cellStyle name="小数 5 4 3" xfId="13046"/>
    <cellStyle name="小数 5 5" xfId="13047"/>
    <cellStyle name="小数 5 5 2" xfId="13048"/>
    <cellStyle name="小数 5 5 2 2" xfId="13049"/>
    <cellStyle name="小数 5 5 3" xfId="13050"/>
    <cellStyle name="小数 5 6" xfId="13051"/>
    <cellStyle name="小数 5 6 2" xfId="13052"/>
    <cellStyle name="小数 5 6 2 2" xfId="13053"/>
    <cellStyle name="小数 5 6 3" xfId="13054"/>
    <cellStyle name="小数 5 7" xfId="13055"/>
    <cellStyle name="小数 5 7 2" xfId="13056"/>
    <cellStyle name="小数 5 8" xfId="13057"/>
    <cellStyle name="小数 6" xfId="13058"/>
    <cellStyle name="小数 6 2" xfId="13059"/>
    <cellStyle name="小数 6 2 2" xfId="13060"/>
    <cellStyle name="小数 6 3" xfId="13061"/>
    <cellStyle name="小数 6 3 2" xfId="13062"/>
    <cellStyle name="小数 6 4" xfId="13063"/>
    <cellStyle name="小数 7" xfId="13064"/>
    <cellStyle name="小数 7 2" xfId="13065"/>
    <cellStyle name="小数 7 2 2" xfId="13066"/>
    <cellStyle name="小数 7 3" xfId="13067"/>
    <cellStyle name="小数 8" xfId="13068"/>
    <cellStyle name="小数 8 2" xfId="13069"/>
    <cellStyle name="小数 8 2 2" xfId="13070"/>
    <cellStyle name="小数 8 3" xfId="13071"/>
    <cellStyle name="小数 9" xfId="13072"/>
    <cellStyle name="小数 9 2" xfId="13073"/>
    <cellStyle name="小数 9 2 2" xfId="13074"/>
    <cellStyle name="小数 9 3" xfId="13075"/>
    <cellStyle name="样式 1" xfId="2381"/>
    <cellStyle name="样式 1 2" xfId="2791"/>
    <cellStyle name="样式 1 3" xfId="13076"/>
    <cellStyle name="样式 1 4" xfId="13077"/>
    <cellStyle name="样式 1 4 2" xfId="13078"/>
    <cellStyle name="着色 1" xfId="2712"/>
    <cellStyle name="着色 1 2" xfId="2811"/>
    <cellStyle name="着色 2" xfId="2710"/>
    <cellStyle name="着色 2 2" xfId="2813"/>
    <cellStyle name="着色 3" xfId="2562"/>
    <cellStyle name="着色 3 2" xfId="2828"/>
    <cellStyle name="着色 4" xfId="2561"/>
    <cellStyle name="着色 4 2" xfId="2829"/>
    <cellStyle name="着色 5" xfId="2563"/>
    <cellStyle name="着色 5 2" xfId="2827"/>
    <cellStyle name="着色 6" xfId="2560"/>
    <cellStyle name="着色 6 2" xfId="2830"/>
    <cellStyle name="寘嬫愗傝 [0.00]_Region Orders (2)" xfId="2835"/>
    <cellStyle name="注释" xfId="1019"/>
    <cellStyle name="注释 10" xfId="2831"/>
    <cellStyle name="注释 10 2" xfId="13079"/>
    <cellStyle name="注释 10 2 2" xfId="13080"/>
    <cellStyle name="注释 10 3" xfId="13081"/>
    <cellStyle name="注释 10 3 2" xfId="13082"/>
    <cellStyle name="注释 10 4" xfId="13083"/>
    <cellStyle name="注释 10 4 2" xfId="13084"/>
    <cellStyle name="注释 10 5" xfId="13085"/>
    <cellStyle name="注释 10 5 2" xfId="13086"/>
    <cellStyle name="注释 10 6" xfId="13087"/>
    <cellStyle name="注释 10 6 2" xfId="13088"/>
    <cellStyle name="注释 11" xfId="13089"/>
    <cellStyle name="注释 11 2" xfId="13090"/>
    <cellStyle name="注释 2" xfId="1021"/>
    <cellStyle name="注释 2 10" xfId="13091"/>
    <cellStyle name="注释 2 10 2" xfId="13092"/>
    <cellStyle name="注释 2 11" xfId="13093"/>
    <cellStyle name="注释 2 11 2" xfId="13094"/>
    <cellStyle name="注释 2 2" xfId="887"/>
    <cellStyle name="注释 2 2 10" xfId="13095"/>
    <cellStyle name="注释 2 2 10 2" xfId="13096"/>
    <cellStyle name="注释 2 2 11" xfId="13097"/>
    <cellStyle name="注释 2 2 11 2" xfId="13098"/>
    <cellStyle name="注释 2 2 2" xfId="890"/>
    <cellStyle name="注释 2 2 2 10" xfId="13099"/>
    <cellStyle name="注释 2 2 2 10 2" xfId="13100"/>
    <cellStyle name="注释 2 2 2 2" xfId="2382"/>
    <cellStyle name="注释 2 2 2 2 2" xfId="4950"/>
    <cellStyle name="注释 2 2 2 2 2 2" xfId="13101"/>
    <cellStyle name="注释 2 2 2 2 2 2 2" xfId="13102"/>
    <cellStyle name="注释 2 2 2 2 2 3" xfId="13103"/>
    <cellStyle name="注释 2 2 2 2 2 3 2" xfId="13104"/>
    <cellStyle name="注释 2 2 2 2 2 4" xfId="13105"/>
    <cellStyle name="注释 2 2 2 2 2 4 2" xfId="13106"/>
    <cellStyle name="注释 2 2 2 2 2 5" xfId="13107"/>
    <cellStyle name="注释 2 2 2 2 2 5 2" xfId="13108"/>
    <cellStyle name="注释 2 2 2 2 2 6" xfId="13109"/>
    <cellStyle name="注释 2 2 2 2 2 6 2" xfId="13110"/>
    <cellStyle name="注释 2 2 2 2 2 7" xfId="13111"/>
    <cellStyle name="注释 2 2 2 2 2 7 2" xfId="13112"/>
    <cellStyle name="注释 2 2 2 2 2 7 2 2" xfId="13113"/>
    <cellStyle name="注释 2 2 2 2 2 7 2 2 2" xfId="13114"/>
    <cellStyle name="注释 2 2 2 2 2 7 3" xfId="13115"/>
    <cellStyle name="注释 2 2 2 2 2 7 3 2" xfId="13116"/>
    <cellStyle name="注释 2 2 2 2 2 8" xfId="13117"/>
    <cellStyle name="注释 2 2 2 2 2 8 2" xfId="13118"/>
    <cellStyle name="注释 2 2 2 2 2 8 2 2" xfId="13119"/>
    <cellStyle name="注释 2 2 2 2 2 8 2 2 2" xfId="13120"/>
    <cellStyle name="注释 2 2 2 2 2 8 3" xfId="13121"/>
    <cellStyle name="注释 2 2 2 2 2 8 3 2" xfId="13122"/>
    <cellStyle name="注释 2 2 2 2 2 9" xfId="13123"/>
    <cellStyle name="注释 2 2 2 2 2 9 2" xfId="13124"/>
    <cellStyle name="注释 2 2 2 2 3" xfId="13125"/>
    <cellStyle name="注释 2 2 2 2 3 2" xfId="13126"/>
    <cellStyle name="注释 2 2 2 2 4" xfId="13127"/>
    <cellStyle name="注释 2 2 2 2 4 2" xfId="13128"/>
    <cellStyle name="注释 2 2 2 2 5" xfId="13129"/>
    <cellStyle name="注释 2 2 2 2 5 2" xfId="13130"/>
    <cellStyle name="注释 2 2 2 2 6" xfId="13131"/>
    <cellStyle name="注释 2 2 2 2 6 2" xfId="13132"/>
    <cellStyle name="注释 2 2 2 2 7" xfId="13133"/>
    <cellStyle name="注释 2 2 2 2 7 2" xfId="13134"/>
    <cellStyle name="注释 2 2 2 2 8" xfId="13135"/>
    <cellStyle name="注释 2 2 2 2 8 2" xfId="13136"/>
    <cellStyle name="注释 2 2 2 3" xfId="2795"/>
    <cellStyle name="注释 2 2 2 3 2" xfId="13137"/>
    <cellStyle name="注释 2 2 2 3 2 2" xfId="13138"/>
    <cellStyle name="注释 2 2 2 3 3" xfId="13139"/>
    <cellStyle name="注释 2 2 2 3 3 2" xfId="13140"/>
    <cellStyle name="注释 2 2 2 3 4" xfId="13141"/>
    <cellStyle name="注释 2 2 2 3 4 2" xfId="13142"/>
    <cellStyle name="注释 2 2 2 3 5" xfId="13143"/>
    <cellStyle name="注释 2 2 2 3 5 2" xfId="13144"/>
    <cellStyle name="注释 2 2 2 3 6" xfId="13145"/>
    <cellStyle name="注释 2 2 2 3 6 2" xfId="13146"/>
    <cellStyle name="注释 2 2 2 3 7" xfId="13147"/>
    <cellStyle name="注释 2 2 2 3 7 2" xfId="13148"/>
    <cellStyle name="注释 2 2 2 3 7 2 2" xfId="13149"/>
    <cellStyle name="注释 2 2 2 3 7 2 2 2" xfId="13150"/>
    <cellStyle name="注释 2 2 2 3 7 3" xfId="13151"/>
    <cellStyle name="注释 2 2 2 3 7 3 2" xfId="13152"/>
    <cellStyle name="注释 2 2 2 3 8" xfId="13153"/>
    <cellStyle name="注释 2 2 2 3 8 2" xfId="13154"/>
    <cellStyle name="注释 2 2 2 3 8 2 2" xfId="13155"/>
    <cellStyle name="注释 2 2 2 3 8 2 2 2" xfId="13156"/>
    <cellStyle name="注释 2 2 2 3 8 3" xfId="13157"/>
    <cellStyle name="注释 2 2 2 3 8 3 2" xfId="13158"/>
    <cellStyle name="注释 2 2 2 3 9" xfId="13159"/>
    <cellStyle name="注释 2 2 2 3 9 2" xfId="13160"/>
    <cellStyle name="注释 2 2 2 4" xfId="4949"/>
    <cellStyle name="注释 2 2 2 4 2" xfId="13161"/>
    <cellStyle name="注释 2 2 2 4 2 2" xfId="13162"/>
    <cellStyle name="注释 2 2 2 4 3" xfId="13163"/>
    <cellStyle name="注释 2 2 2 4 3 2" xfId="13164"/>
    <cellStyle name="注释 2 2 2 4 4" xfId="13165"/>
    <cellStyle name="注释 2 2 2 4 4 2" xfId="13166"/>
    <cellStyle name="注释 2 2 2 4 5" xfId="13167"/>
    <cellStyle name="注释 2 2 2 4 5 2" xfId="13168"/>
    <cellStyle name="注释 2 2 2 4 6" xfId="13169"/>
    <cellStyle name="注释 2 2 2 4 6 2" xfId="13170"/>
    <cellStyle name="注释 2 2 2 4 7" xfId="13171"/>
    <cellStyle name="注释 2 2 2 4 7 2" xfId="13172"/>
    <cellStyle name="注释 2 2 2 4 7 2 2" xfId="13173"/>
    <cellStyle name="注释 2 2 2 4 7 2 2 2" xfId="13174"/>
    <cellStyle name="注释 2 2 2 4 7 3" xfId="13175"/>
    <cellStyle name="注释 2 2 2 4 7 3 2" xfId="13176"/>
    <cellStyle name="注释 2 2 2 4 8" xfId="13177"/>
    <cellStyle name="注释 2 2 2 4 8 2" xfId="13178"/>
    <cellStyle name="注释 2 2 2 4 8 2 2" xfId="13179"/>
    <cellStyle name="注释 2 2 2 4 8 2 2 2" xfId="13180"/>
    <cellStyle name="注释 2 2 2 4 8 3" xfId="13181"/>
    <cellStyle name="注释 2 2 2 4 8 3 2" xfId="13182"/>
    <cellStyle name="注释 2 2 2 4 9" xfId="13183"/>
    <cellStyle name="注释 2 2 2 4 9 2" xfId="13184"/>
    <cellStyle name="注释 2 2 2 5" xfId="13185"/>
    <cellStyle name="注释 2 2 2 5 2" xfId="13186"/>
    <cellStyle name="注释 2 2 2 6" xfId="13187"/>
    <cellStyle name="注释 2 2 2 6 2" xfId="13188"/>
    <cellStyle name="注释 2 2 2 7" xfId="13189"/>
    <cellStyle name="注释 2 2 2 7 2" xfId="13190"/>
    <cellStyle name="注释 2 2 2 8" xfId="13191"/>
    <cellStyle name="注释 2 2 2 8 2" xfId="13192"/>
    <cellStyle name="注释 2 2 2 9" xfId="13193"/>
    <cellStyle name="注释 2 2 2 9 2" xfId="13194"/>
    <cellStyle name="注释 2 2 3" xfId="2383"/>
    <cellStyle name="注释 2 2 3 2" xfId="2796"/>
    <cellStyle name="注释 2 2 3 2 2" xfId="13195"/>
    <cellStyle name="注释 2 2 3 2 2 2" xfId="13196"/>
    <cellStyle name="注释 2 2 3 2 3" xfId="13197"/>
    <cellStyle name="注释 2 2 3 2 3 2" xfId="13198"/>
    <cellStyle name="注释 2 2 3 2 4" xfId="13199"/>
    <cellStyle name="注释 2 2 3 2 4 2" xfId="13200"/>
    <cellStyle name="注释 2 2 3 2 5" xfId="13201"/>
    <cellStyle name="注释 2 2 3 2 5 2" xfId="13202"/>
    <cellStyle name="注释 2 2 3 2 6" xfId="13203"/>
    <cellStyle name="注释 2 2 3 2 6 2" xfId="13204"/>
    <cellStyle name="注释 2 2 3 2 7" xfId="13205"/>
    <cellStyle name="注释 2 2 3 2 7 2" xfId="13206"/>
    <cellStyle name="注释 2 2 3 2 7 2 2" xfId="13207"/>
    <cellStyle name="注释 2 2 3 2 7 2 2 2" xfId="13208"/>
    <cellStyle name="注释 2 2 3 2 7 3" xfId="13209"/>
    <cellStyle name="注释 2 2 3 2 7 3 2" xfId="13210"/>
    <cellStyle name="注释 2 2 3 2 8" xfId="13211"/>
    <cellStyle name="注释 2 2 3 2 8 2" xfId="13212"/>
    <cellStyle name="注释 2 2 3 2 8 2 2" xfId="13213"/>
    <cellStyle name="注释 2 2 3 2 8 2 2 2" xfId="13214"/>
    <cellStyle name="注释 2 2 3 2 8 3" xfId="13215"/>
    <cellStyle name="注释 2 2 3 2 8 3 2" xfId="13216"/>
    <cellStyle name="注释 2 2 3 2 9" xfId="13217"/>
    <cellStyle name="注释 2 2 3 2 9 2" xfId="13218"/>
    <cellStyle name="注释 2 2 3 3" xfId="4951"/>
    <cellStyle name="注释 2 2 3 3 2" xfId="13219"/>
    <cellStyle name="注释 2 2 3 3 2 2" xfId="13220"/>
    <cellStyle name="注释 2 2 3 3 3" xfId="13221"/>
    <cellStyle name="注释 2 2 3 3 3 2" xfId="13222"/>
    <cellStyle name="注释 2 2 3 3 4" xfId="13223"/>
    <cellStyle name="注释 2 2 3 3 4 2" xfId="13224"/>
    <cellStyle name="注释 2 2 3 3 5" xfId="13225"/>
    <cellStyle name="注释 2 2 3 3 5 2" xfId="13226"/>
    <cellStyle name="注释 2 2 3 3 6" xfId="13227"/>
    <cellStyle name="注释 2 2 3 3 6 2" xfId="13228"/>
    <cellStyle name="注释 2 2 3 3 7" xfId="13229"/>
    <cellStyle name="注释 2 2 3 3 7 2" xfId="13230"/>
    <cellStyle name="注释 2 2 3 3 7 2 2" xfId="13231"/>
    <cellStyle name="注释 2 2 3 3 7 2 2 2" xfId="13232"/>
    <cellStyle name="注释 2 2 3 3 7 3" xfId="13233"/>
    <cellStyle name="注释 2 2 3 3 7 3 2" xfId="13234"/>
    <cellStyle name="注释 2 2 3 3 8" xfId="13235"/>
    <cellStyle name="注释 2 2 3 3 8 2" xfId="13236"/>
    <cellStyle name="注释 2 2 3 3 8 2 2" xfId="13237"/>
    <cellStyle name="注释 2 2 3 3 8 2 2 2" xfId="13238"/>
    <cellStyle name="注释 2 2 3 3 8 3" xfId="13239"/>
    <cellStyle name="注释 2 2 3 3 8 3 2" xfId="13240"/>
    <cellStyle name="注释 2 2 3 3 9" xfId="13241"/>
    <cellStyle name="注释 2 2 3 3 9 2" xfId="13242"/>
    <cellStyle name="注释 2 2 3 4" xfId="13243"/>
    <cellStyle name="注释 2 2 3 4 2" xfId="13244"/>
    <cellStyle name="注释 2 2 3 5" xfId="13245"/>
    <cellStyle name="注释 2 2 3 5 2" xfId="13246"/>
    <cellStyle name="注释 2 2 3 6" xfId="13247"/>
    <cellStyle name="注释 2 2 3 6 2" xfId="13248"/>
    <cellStyle name="注释 2 2 3 7" xfId="13249"/>
    <cellStyle name="注释 2 2 3 7 2" xfId="13250"/>
    <cellStyle name="注释 2 2 3 8" xfId="13251"/>
    <cellStyle name="注释 2 2 3 8 2" xfId="13252"/>
    <cellStyle name="注释 2 2 3 9" xfId="13253"/>
    <cellStyle name="注释 2 2 3 9 2" xfId="13254"/>
    <cellStyle name="注释 2 2 4" xfId="2794"/>
    <cellStyle name="注释 2 2 4 2" xfId="13255"/>
    <cellStyle name="注释 2 2 4 2 2" xfId="13256"/>
    <cellStyle name="注释 2 2 4 3" xfId="13257"/>
    <cellStyle name="注释 2 2 4 3 2" xfId="13258"/>
    <cellStyle name="注释 2 2 4 4" xfId="13259"/>
    <cellStyle name="注释 2 2 4 4 2" xfId="13260"/>
    <cellStyle name="注释 2 2 4 5" xfId="13261"/>
    <cellStyle name="注释 2 2 4 5 2" xfId="13262"/>
    <cellStyle name="注释 2 2 4 6" xfId="13263"/>
    <cellStyle name="注释 2 2 4 6 2" xfId="13264"/>
    <cellStyle name="注释 2 2 4 7" xfId="13265"/>
    <cellStyle name="注释 2 2 4 7 2" xfId="13266"/>
    <cellStyle name="注释 2 2 4 7 2 2" xfId="13267"/>
    <cellStyle name="注释 2 2 4 7 2 2 2" xfId="13268"/>
    <cellStyle name="注释 2 2 4 7 3" xfId="13269"/>
    <cellStyle name="注释 2 2 4 7 3 2" xfId="13270"/>
    <cellStyle name="注释 2 2 4 8" xfId="13271"/>
    <cellStyle name="注释 2 2 4 8 2" xfId="13272"/>
    <cellStyle name="注释 2 2 4 8 2 2" xfId="13273"/>
    <cellStyle name="注释 2 2 4 8 2 2 2" xfId="13274"/>
    <cellStyle name="注释 2 2 4 8 3" xfId="13275"/>
    <cellStyle name="注释 2 2 4 8 3 2" xfId="13276"/>
    <cellStyle name="注释 2 2 4 9" xfId="13277"/>
    <cellStyle name="注释 2 2 4 9 2" xfId="13278"/>
    <cellStyle name="注释 2 2 5" xfId="4948"/>
    <cellStyle name="注释 2 2 5 2" xfId="13279"/>
    <cellStyle name="注释 2 2 5 2 2" xfId="13280"/>
    <cellStyle name="注释 2 2 5 3" xfId="13281"/>
    <cellStyle name="注释 2 2 5 3 2" xfId="13282"/>
    <cellStyle name="注释 2 2 5 4" xfId="13283"/>
    <cellStyle name="注释 2 2 5 4 2" xfId="13284"/>
    <cellStyle name="注释 2 2 5 5" xfId="13285"/>
    <cellStyle name="注释 2 2 5 5 2" xfId="13286"/>
    <cellStyle name="注释 2 2 5 6" xfId="13287"/>
    <cellStyle name="注释 2 2 5 6 2" xfId="13288"/>
    <cellStyle name="注释 2 2 5 7" xfId="13289"/>
    <cellStyle name="注释 2 2 5 7 2" xfId="13290"/>
    <cellStyle name="注释 2 2 5 7 2 2" xfId="13291"/>
    <cellStyle name="注释 2 2 5 7 2 2 2" xfId="13292"/>
    <cellStyle name="注释 2 2 5 7 3" xfId="13293"/>
    <cellStyle name="注释 2 2 5 7 3 2" xfId="13294"/>
    <cellStyle name="注释 2 2 5 8" xfId="13295"/>
    <cellStyle name="注释 2 2 5 8 2" xfId="13296"/>
    <cellStyle name="注释 2 2 5 8 2 2" xfId="13297"/>
    <cellStyle name="注释 2 2 5 8 2 2 2" xfId="13298"/>
    <cellStyle name="注释 2 2 5 8 3" xfId="13299"/>
    <cellStyle name="注释 2 2 5 8 3 2" xfId="13300"/>
    <cellStyle name="注释 2 2 5 9" xfId="13301"/>
    <cellStyle name="注释 2 2 5 9 2" xfId="13302"/>
    <cellStyle name="注释 2 2 6" xfId="13303"/>
    <cellStyle name="注释 2 2 6 2" xfId="13304"/>
    <cellStyle name="注释 2 2 7" xfId="13305"/>
    <cellStyle name="注释 2 2 7 2" xfId="13306"/>
    <cellStyle name="注释 2 2 8" xfId="13307"/>
    <cellStyle name="注释 2 2 8 2" xfId="13308"/>
    <cellStyle name="注释 2 2 9" xfId="13309"/>
    <cellStyle name="注释 2 2 9 2" xfId="13310"/>
    <cellStyle name="注释 2 3" xfId="893"/>
    <cellStyle name="注释 2 3 10" xfId="13311"/>
    <cellStyle name="注释 2 3 10 2" xfId="13312"/>
    <cellStyle name="注释 2 3 2" xfId="1620"/>
    <cellStyle name="注释 2 3 2 2" xfId="4953"/>
    <cellStyle name="注释 2 3 2 2 2" xfId="13313"/>
    <cellStyle name="注释 2 3 2 2 2 2" xfId="13314"/>
    <cellStyle name="注释 2 3 2 2 3" xfId="13315"/>
    <cellStyle name="注释 2 3 2 2 3 2" xfId="13316"/>
    <cellStyle name="注释 2 3 2 2 4" xfId="13317"/>
    <cellStyle name="注释 2 3 2 2 4 2" xfId="13318"/>
    <cellStyle name="注释 2 3 2 2 5" xfId="13319"/>
    <cellStyle name="注释 2 3 2 2 5 2" xfId="13320"/>
    <cellStyle name="注释 2 3 2 2 6" xfId="13321"/>
    <cellStyle name="注释 2 3 2 2 6 2" xfId="13322"/>
    <cellStyle name="注释 2 3 2 2 7" xfId="13323"/>
    <cellStyle name="注释 2 3 2 2 7 2" xfId="13324"/>
    <cellStyle name="注释 2 3 2 2 7 2 2" xfId="13325"/>
    <cellStyle name="注释 2 3 2 2 7 2 2 2" xfId="13326"/>
    <cellStyle name="注释 2 3 2 2 7 3" xfId="13327"/>
    <cellStyle name="注释 2 3 2 2 7 3 2" xfId="13328"/>
    <cellStyle name="注释 2 3 2 2 8" xfId="13329"/>
    <cellStyle name="注释 2 3 2 2 8 2" xfId="13330"/>
    <cellStyle name="注释 2 3 2 2 8 2 2" xfId="13331"/>
    <cellStyle name="注释 2 3 2 2 8 2 2 2" xfId="13332"/>
    <cellStyle name="注释 2 3 2 2 8 3" xfId="13333"/>
    <cellStyle name="注释 2 3 2 2 8 3 2" xfId="13334"/>
    <cellStyle name="注释 2 3 2 2 9" xfId="13335"/>
    <cellStyle name="注释 2 3 2 2 9 2" xfId="13336"/>
    <cellStyle name="注释 2 3 2 3" xfId="13337"/>
    <cellStyle name="注释 2 3 2 3 2" xfId="13338"/>
    <cellStyle name="注释 2 3 2 4" xfId="13339"/>
    <cellStyle name="注释 2 3 2 4 2" xfId="13340"/>
    <cellStyle name="注释 2 3 2 5" xfId="13341"/>
    <cellStyle name="注释 2 3 2 5 2" xfId="13342"/>
    <cellStyle name="注释 2 3 2 6" xfId="13343"/>
    <cellStyle name="注释 2 3 2 6 2" xfId="13344"/>
    <cellStyle name="注释 2 3 2 7" xfId="13345"/>
    <cellStyle name="注释 2 3 2 7 2" xfId="13346"/>
    <cellStyle name="注释 2 3 2 8" xfId="13347"/>
    <cellStyle name="注释 2 3 2 8 2" xfId="13348"/>
    <cellStyle name="注释 2 3 3" xfId="2797"/>
    <cellStyle name="注释 2 3 3 2" xfId="13349"/>
    <cellStyle name="注释 2 3 3 2 2" xfId="13350"/>
    <cellStyle name="注释 2 3 3 3" xfId="13351"/>
    <cellStyle name="注释 2 3 3 3 2" xfId="13352"/>
    <cellStyle name="注释 2 3 3 4" xfId="13353"/>
    <cellStyle name="注释 2 3 3 4 2" xfId="13354"/>
    <cellStyle name="注释 2 3 3 5" xfId="13355"/>
    <cellStyle name="注释 2 3 3 5 2" xfId="13356"/>
    <cellStyle name="注释 2 3 3 6" xfId="13357"/>
    <cellStyle name="注释 2 3 3 6 2" xfId="13358"/>
    <cellStyle name="注释 2 3 3 7" xfId="13359"/>
    <cellStyle name="注释 2 3 3 7 2" xfId="13360"/>
    <cellStyle name="注释 2 3 3 7 2 2" xfId="13361"/>
    <cellStyle name="注释 2 3 3 7 2 2 2" xfId="13362"/>
    <cellStyle name="注释 2 3 3 7 3" xfId="13363"/>
    <cellStyle name="注释 2 3 3 7 3 2" xfId="13364"/>
    <cellStyle name="注释 2 3 3 8" xfId="13365"/>
    <cellStyle name="注释 2 3 3 8 2" xfId="13366"/>
    <cellStyle name="注释 2 3 3 8 2 2" xfId="13367"/>
    <cellStyle name="注释 2 3 3 8 2 2 2" xfId="13368"/>
    <cellStyle name="注释 2 3 3 8 3" xfId="13369"/>
    <cellStyle name="注释 2 3 3 8 3 2" xfId="13370"/>
    <cellStyle name="注释 2 3 3 9" xfId="13371"/>
    <cellStyle name="注释 2 3 3 9 2" xfId="13372"/>
    <cellStyle name="注释 2 3 4" xfId="4952"/>
    <cellStyle name="注释 2 3 4 2" xfId="13373"/>
    <cellStyle name="注释 2 3 4 2 2" xfId="13374"/>
    <cellStyle name="注释 2 3 4 3" xfId="13375"/>
    <cellStyle name="注释 2 3 4 3 2" xfId="13376"/>
    <cellStyle name="注释 2 3 4 4" xfId="13377"/>
    <cellStyle name="注释 2 3 4 4 2" xfId="13378"/>
    <cellStyle name="注释 2 3 4 5" xfId="13379"/>
    <cellStyle name="注释 2 3 4 5 2" xfId="13380"/>
    <cellStyle name="注释 2 3 4 6" xfId="13381"/>
    <cellStyle name="注释 2 3 4 6 2" xfId="13382"/>
    <cellStyle name="注释 2 3 4 7" xfId="13383"/>
    <cellStyle name="注释 2 3 4 7 2" xfId="13384"/>
    <cellStyle name="注释 2 3 4 7 2 2" xfId="13385"/>
    <cellStyle name="注释 2 3 4 7 2 2 2" xfId="13386"/>
    <cellStyle name="注释 2 3 4 7 3" xfId="13387"/>
    <cellStyle name="注释 2 3 4 7 3 2" xfId="13388"/>
    <cellStyle name="注释 2 3 4 8" xfId="13389"/>
    <cellStyle name="注释 2 3 4 8 2" xfId="13390"/>
    <cellStyle name="注释 2 3 4 8 2 2" xfId="13391"/>
    <cellStyle name="注释 2 3 4 8 2 2 2" xfId="13392"/>
    <cellStyle name="注释 2 3 4 8 3" xfId="13393"/>
    <cellStyle name="注释 2 3 4 8 3 2" xfId="13394"/>
    <cellStyle name="注释 2 3 4 9" xfId="13395"/>
    <cellStyle name="注释 2 3 4 9 2" xfId="13396"/>
    <cellStyle name="注释 2 3 5" xfId="13397"/>
    <cellStyle name="注释 2 3 5 2" xfId="13398"/>
    <cellStyle name="注释 2 3 6" xfId="13399"/>
    <cellStyle name="注释 2 3 6 2" xfId="13400"/>
    <cellStyle name="注释 2 3 7" xfId="13401"/>
    <cellStyle name="注释 2 3 7 2" xfId="13402"/>
    <cellStyle name="注释 2 3 8" xfId="13403"/>
    <cellStyle name="注释 2 3 8 2" xfId="13404"/>
    <cellStyle name="注释 2 3 9" xfId="13405"/>
    <cellStyle name="注释 2 3 9 2" xfId="13406"/>
    <cellStyle name="注释 2 4" xfId="2384"/>
    <cellStyle name="注释 2 4 2" xfId="2798"/>
    <cellStyle name="注释 2 4 2 2" xfId="13407"/>
    <cellStyle name="注释 2 4 2 2 2" xfId="13408"/>
    <cellStyle name="注释 2 4 2 3" xfId="13409"/>
    <cellStyle name="注释 2 4 2 3 2" xfId="13410"/>
    <cellStyle name="注释 2 4 2 4" xfId="13411"/>
    <cellStyle name="注释 2 4 2 4 2" xfId="13412"/>
    <cellStyle name="注释 2 4 2 5" xfId="13413"/>
    <cellStyle name="注释 2 4 2 5 2" xfId="13414"/>
    <cellStyle name="注释 2 4 2 6" xfId="13415"/>
    <cellStyle name="注释 2 4 2 6 2" xfId="13416"/>
    <cellStyle name="注释 2 4 2 7" xfId="13417"/>
    <cellStyle name="注释 2 4 2 7 2" xfId="13418"/>
    <cellStyle name="注释 2 4 2 7 2 2" xfId="13419"/>
    <cellStyle name="注释 2 4 2 7 2 2 2" xfId="13420"/>
    <cellStyle name="注释 2 4 2 7 3" xfId="13421"/>
    <cellStyle name="注释 2 4 2 7 3 2" xfId="13422"/>
    <cellStyle name="注释 2 4 2 8" xfId="13423"/>
    <cellStyle name="注释 2 4 2 8 2" xfId="13424"/>
    <cellStyle name="注释 2 4 2 8 2 2" xfId="13425"/>
    <cellStyle name="注释 2 4 2 8 2 2 2" xfId="13426"/>
    <cellStyle name="注释 2 4 2 8 3" xfId="13427"/>
    <cellStyle name="注释 2 4 2 8 3 2" xfId="13428"/>
    <cellStyle name="注释 2 4 2 9" xfId="13429"/>
    <cellStyle name="注释 2 4 2 9 2" xfId="13430"/>
    <cellStyle name="注释 2 4 3" xfId="4954"/>
    <cellStyle name="注释 2 4 3 2" xfId="13431"/>
    <cellStyle name="注释 2 4 3 2 2" xfId="13432"/>
    <cellStyle name="注释 2 4 3 3" xfId="13433"/>
    <cellStyle name="注释 2 4 3 3 2" xfId="13434"/>
    <cellStyle name="注释 2 4 3 4" xfId="13435"/>
    <cellStyle name="注释 2 4 3 4 2" xfId="13436"/>
    <cellStyle name="注释 2 4 3 5" xfId="13437"/>
    <cellStyle name="注释 2 4 3 5 2" xfId="13438"/>
    <cellStyle name="注释 2 4 3 6" xfId="13439"/>
    <cellStyle name="注释 2 4 3 6 2" xfId="13440"/>
    <cellStyle name="注释 2 4 3 7" xfId="13441"/>
    <cellStyle name="注释 2 4 3 7 2" xfId="13442"/>
    <cellStyle name="注释 2 4 3 7 2 2" xfId="13443"/>
    <cellStyle name="注释 2 4 3 7 2 2 2" xfId="13444"/>
    <cellStyle name="注释 2 4 3 7 3" xfId="13445"/>
    <cellStyle name="注释 2 4 3 7 3 2" xfId="13446"/>
    <cellStyle name="注释 2 4 3 8" xfId="13447"/>
    <cellStyle name="注释 2 4 3 8 2" xfId="13448"/>
    <cellStyle name="注释 2 4 3 8 2 2" xfId="13449"/>
    <cellStyle name="注释 2 4 3 8 2 2 2" xfId="13450"/>
    <cellStyle name="注释 2 4 3 8 3" xfId="13451"/>
    <cellStyle name="注释 2 4 3 8 3 2" xfId="13452"/>
    <cellStyle name="注释 2 4 3 9" xfId="13453"/>
    <cellStyle name="注释 2 4 3 9 2" xfId="13454"/>
    <cellStyle name="注释 2 4 4" xfId="13455"/>
    <cellStyle name="注释 2 4 4 2" xfId="13456"/>
    <cellStyle name="注释 2 4 5" xfId="13457"/>
    <cellStyle name="注释 2 4 5 2" xfId="13458"/>
    <cellStyle name="注释 2 4 6" xfId="13459"/>
    <cellStyle name="注释 2 4 6 2" xfId="13460"/>
    <cellStyle name="注释 2 4 7" xfId="13461"/>
    <cellStyle name="注释 2 4 7 2" xfId="13462"/>
    <cellStyle name="注释 2 4 8" xfId="13463"/>
    <cellStyle name="注释 2 4 8 2" xfId="13464"/>
    <cellStyle name="注释 2 4 9" xfId="13465"/>
    <cellStyle name="注释 2 4 9 2" xfId="13466"/>
    <cellStyle name="注释 2 5" xfId="2793"/>
    <cellStyle name="注释 2 5 2" xfId="13467"/>
    <cellStyle name="注释 2 5 2 2" xfId="13468"/>
    <cellStyle name="注释 2 5 3" xfId="13469"/>
    <cellStyle name="注释 2 5 3 2" xfId="13470"/>
    <cellStyle name="注释 2 5 4" xfId="13471"/>
    <cellStyle name="注释 2 5 4 2" xfId="13472"/>
    <cellStyle name="注释 2 5 5" xfId="13473"/>
    <cellStyle name="注释 2 5 5 2" xfId="13474"/>
    <cellStyle name="注释 2 5 6" xfId="13475"/>
    <cellStyle name="注释 2 5 6 2" xfId="13476"/>
    <cellStyle name="注释 2 5 7" xfId="13477"/>
    <cellStyle name="注释 2 5 7 2" xfId="13478"/>
    <cellStyle name="注释 2 5 7 2 2" xfId="13479"/>
    <cellStyle name="注释 2 5 7 2 2 2" xfId="13480"/>
    <cellStyle name="注释 2 5 7 3" xfId="13481"/>
    <cellStyle name="注释 2 5 7 3 2" xfId="13482"/>
    <cellStyle name="注释 2 5 8" xfId="13483"/>
    <cellStyle name="注释 2 5 8 2" xfId="13484"/>
    <cellStyle name="注释 2 5 8 2 2" xfId="13485"/>
    <cellStyle name="注释 2 5 8 2 2 2" xfId="13486"/>
    <cellStyle name="注释 2 5 8 3" xfId="13487"/>
    <cellStyle name="注释 2 5 8 3 2" xfId="13488"/>
    <cellStyle name="注释 2 5 9" xfId="13489"/>
    <cellStyle name="注释 2 5 9 2" xfId="13490"/>
    <cellStyle name="注释 2 6" xfId="13491"/>
    <cellStyle name="注释 2 6 2" xfId="13492"/>
    <cellStyle name="注释 2 7" xfId="13493"/>
    <cellStyle name="注释 2 7 2" xfId="13494"/>
    <cellStyle name="注释 2 8" xfId="13495"/>
    <cellStyle name="注释 2 8 2" xfId="13496"/>
    <cellStyle name="注释 2 9" xfId="13497"/>
    <cellStyle name="注释 2 9 2" xfId="13498"/>
    <cellStyle name="注释 3" xfId="1023"/>
    <cellStyle name="注释 3 10" xfId="13499"/>
    <cellStyle name="注释 3 10 2" xfId="13500"/>
    <cellStyle name="注释 3 11" xfId="13501"/>
    <cellStyle name="注释 3 11 2" xfId="13502"/>
    <cellStyle name="注释 3 2" xfId="951"/>
    <cellStyle name="注释 3 2 10" xfId="13503"/>
    <cellStyle name="注释 3 2 10 2" xfId="13504"/>
    <cellStyle name="注释 3 2 2" xfId="955"/>
    <cellStyle name="注释 3 2 2 2" xfId="2385"/>
    <cellStyle name="注释 3 2 2 2 2" xfId="4957"/>
    <cellStyle name="注释 3 2 2 2 2 2" xfId="13505"/>
    <cellStyle name="注释 3 2 2 2 2 2 2" xfId="13506"/>
    <cellStyle name="注释 3 2 2 2 2 3" xfId="13507"/>
    <cellStyle name="注释 3 2 2 2 2 3 2" xfId="13508"/>
    <cellStyle name="注释 3 2 2 2 2 4" xfId="13509"/>
    <cellStyle name="注释 3 2 2 2 2 4 2" xfId="13510"/>
    <cellStyle name="注释 3 2 2 2 2 5" xfId="13511"/>
    <cellStyle name="注释 3 2 2 2 2 5 2" xfId="13512"/>
    <cellStyle name="注释 3 2 2 2 2 6" xfId="13513"/>
    <cellStyle name="注释 3 2 2 2 2 6 2" xfId="13514"/>
    <cellStyle name="注释 3 2 2 2 2 7" xfId="13515"/>
    <cellStyle name="注释 3 2 2 2 2 7 2" xfId="13516"/>
    <cellStyle name="注释 3 2 2 2 2 7 2 2" xfId="13517"/>
    <cellStyle name="注释 3 2 2 2 2 7 2 2 2" xfId="13518"/>
    <cellStyle name="注释 3 2 2 2 2 7 3" xfId="13519"/>
    <cellStyle name="注释 3 2 2 2 2 7 3 2" xfId="13520"/>
    <cellStyle name="注释 3 2 2 2 2 8" xfId="13521"/>
    <cellStyle name="注释 3 2 2 2 2 8 2" xfId="13522"/>
    <cellStyle name="注释 3 2 2 2 2 8 2 2" xfId="13523"/>
    <cellStyle name="注释 3 2 2 2 2 8 2 2 2" xfId="13524"/>
    <cellStyle name="注释 3 2 2 2 2 8 3" xfId="13525"/>
    <cellStyle name="注释 3 2 2 2 2 8 3 2" xfId="13526"/>
    <cellStyle name="注释 3 2 2 2 2 9" xfId="13527"/>
    <cellStyle name="注释 3 2 2 2 2 9 2" xfId="13528"/>
    <cellStyle name="注释 3 2 2 2 3" xfId="13529"/>
    <cellStyle name="注释 3 2 2 2 3 2" xfId="13530"/>
    <cellStyle name="注释 3 2 2 2 4" xfId="13531"/>
    <cellStyle name="注释 3 2 2 2 4 2" xfId="13532"/>
    <cellStyle name="注释 3 2 2 2 5" xfId="13533"/>
    <cellStyle name="注释 3 2 2 2 5 2" xfId="13534"/>
    <cellStyle name="注释 3 2 2 2 6" xfId="13535"/>
    <cellStyle name="注释 3 2 2 2 6 2" xfId="13536"/>
    <cellStyle name="注释 3 2 2 2 7" xfId="13537"/>
    <cellStyle name="注释 3 2 2 2 7 2" xfId="13538"/>
    <cellStyle name="注释 3 2 2 2 8" xfId="13539"/>
    <cellStyle name="注释 3 2 2 2 8 2" xfId="13540"/>
    <cellStyle name="注释 3 2 2 3" xfId="4956"/>
    <cellStyle name="注释 3 2 2 3 2" xfId="13541"/>
    <cellStyle name="注释 3 2 2 3 2 2" xfId="13542"/>
    <cellStyle name="注释 3 2 2 3 3" xfId="13543"/>
    <cellStyle name="注释 3 2 2 3 3 2" xfId="13544"/>
    <cellStyle name="注释 3 2 2 3 4" xfId="13545"/>
    <cellStyle name="注释 3 2 2 3 4 2" xfId="13546"/>
    <cellStyle name="注释 3 2 2 3 5" xfId="13547"/>
    <cellStyle name="注释 3 2 2 3 5 2" xfId="13548"/>
    <cellStyle name="注释 3 2 2 3 6" xfId="13549"/>
    <cellStyle name="注释 3 2 2 3 6 2" xfId="13550"/>
    <cellStyle name="注释 3 2 2 3 7" xfId="13551"/>
    <cellStyle name="注释 3 2 2 3 7 2" xfId="13552"/>
    <cellStyle name="注释 3 2 2 3 7 2 2" xfId="13553"/>
    <cellStyle name="注释 3 2 2 3 7 2 2 2" xfId="13554"/>
    <cellStyle name="注释 3 2 2 3 7 3" xfId="13555"/>
    <cellStyle name="注释 3 2 2 3 7 3 2" xfId="13556"/>
    <cellStyle name="注释 3 2 2 3 8" xfId="13557"/>
    <cellStyle name="注释 3 2 2 3 8 2" xfId="13558"/>
    <cellStyle name="注释 3 2 2 3 8 2 2" xfId="13559"/>
    <cellStyle name="注释 3 2 2 3 8 2 2 2" xfId="13560"/>
    <cellStyle name="注释 3 2 2 3 8 3" xfId="13561"/>
    <cellStyle name="注释 3 2 2 3 8 3 2" xfId="13562"/>
    <cellStyle name="注释 3 2 2 3 9" xfId="13563"/>
    <cellStyle name="注释 3 2 2 3 9 2" xfId="13564"/>
    <cellStyle name="注释 3 2 2 4" xfId="13565"/>
    <cellStyle name="注释 3 2 2 4 2" xfId="13566"/>
    <cellStyle name="注释 3 2 2 5" xfId="13567"/>
    <cellStyle name="注释 3 2 2 5 2" xfId="13568"/>
    <cellStyle name="注释 3 2 2 6" xfId="13569"/>
    <cellStyle name="注释 3 2 2 6 2" xfId="13570"/>
    <cellStyle name="注释 3 2 2 7" xfId="13571"/>
    <cellStyle name="注释 3 2 2 7 2" xfId="13572"/>
    <cellStyle name="注释 3 2 2 8" xfId="13573"/>
    <cellStyle name="注释 3 2 2 8 2" xfId="13574"/>
    <cellStyle name="注释 3 2 2 9" xfId="13575"/>
    <cellStyle name="注释 3 2 2 9 2" xfId="13576"/>
    <cellStyle name="注释 3 2 3" xfId="1523"/>
    <cellStyle name="注释 3 2 3 2" xfId="4958"/>
    <cellStyle name="注释 3 2 3 2 2" xfId="13577"/>
    <cellStyle name="注释 3 2 3 2 2 2" xfId="13578"/>
    <cellStyle name="注释 3 2 3 2 3" xfId="13579"/>
    <cellStyle name="注释 3 2 3 2 3 2" xfId="13580"/>
    <cellStyle name="注释 3 2 3 2 4" xfId="13581"/>
    <cellStyle name="注释 3 2 3 2 4 2" xfId="13582"/>
    <cellStyle name="注释 3 2 3 2 5" xfId="13583"/>
    <cellStyle name="注释 3 2 3 2 5 2" xfId="13584"/>
    <cellStyle name="注释 3 2 3 2 6" xfId="13585"/>
    <cellStyle name="注释 3 2 3 2 6 2" xfId="13586"/>
    <cellStyle name="注释 3 2 3 2 7" xfId="13587"/>
    <cellStyle name="注释 3 2 3 2 7 2" xfId="13588"/>
    <cellStyle name="注释 3 2 3 2 7 2 2" xfId="13589"/>
    <cellStyle name="注释 3 2 3 2 7 2 2 2" xfId="13590"/>
    <cellStyle name="注释 3 2 3 2 7 3" xfId="13591"/>
    <cellStyle name="注释 3 2 3 2 7 3 2" xfId="13592"/>
    <cellStyle name="注释 3 2 3 2 8" xfId="13593"/>
    <cellStyle name="注释 3 2 3 2 8 2" xfId="13594"/>
    <cellStyle name="注释 3 2 3 2 8 2 2" xfId="13595"/>
    <cellStyle name="注释 3 2 3 2 8 2 2 2" xfId="13596"/>
    <cellStyle name="注释 3 2 3 2 8 3" xfId="13597"/>
    <cellStyle name="注释 3 2 3 2 8 3 2" xfId="13598"/>
    <cellStyle name="注释 3 2 3 2 9" xfId="13599"/>
    <cellStyle name="注释 3 2 3 2 9 2" xfId="13600"/>
    <cellStyle name="注释 3 2 3 3" xfId="13601"/>
    <cellStyle name="注释 3 2 3 3 2" xfId="13602"/>
    <cellStyle name="注释 3 2 3 4" xfId="13603"/>
    <cellStyle name="注释 3 2 3 4 2" xfId="13604"/>
    <cellStyle name="注释 3 2 3 5" xfId="13605"/>
    <cellStyle name="注释 3 2 3 5 2" xfId="13606"/>
    <cellStyle name="注释 3 2 3 6" xfId="13607"/>
    <cellStyle name="注释 3 2 3 6 2" xfId="13608"/>
    <cellStyle name="注释 3 2 3 7" xfId="13609"/>
    <cellStyle name="注释 3 2 3 7 2" xfId="13610"/>
    <cellStyle name="注释 3 2 3 8" xfId="13611"/>
    <cellStyle name="注释 3 2 3 8 2" xfId="13612"/>
    <cellStyle name="注释 3 2 4" xfId="4955"/>
    <cellStyle name="注释 3 2 4 2" xfId="13613"/>
    <cellStyle name="注释 3 2 4 2 2" xfId="13614"/>
    <cellStyle name="注释 3 2 4 3" xfId="13615"/>
    <cellStyle name="注释 3 2 4 3 2" xfId="13616"/>
    <cellStyle name="注释 3 2 4 4" xfId="13617"/>
    <cellStyle name="注释 3 2 4 4 2" xfId="13618"/>
    <cellStyle name="注释 3 2 4 5" xfId="13619"/>
    <cellStyle name="注释 3 2 4 5 2" xfId="13620"/>
    <cellStyle name="注释 3 2 4 6" xfId="13621"/>
    <cellStyle name="注释 3 2 4 6 2" xfId="13622"/>
    <cellStyle name="注释 3 2 4 7" xfId="13623"/>
    <cellStyle name="注释 3 2 4 7 2" xfId="13624"/>
    <cellStyle name="注释 3 2 4 7 2 2" xfId="13625"/>
    <cellStyle name="注释 3 2 4 7 2 2 2" xfId="13626"/>
    <cellStyle name="注释 3 2 4 7 3" xfId="13627"/>
    <cellStyle name="注释 3 2 4 7 3 2" xfId="13628"/>
    <cellStyle name="注释 3 2 4 8" xfId="13629"/>
    <cellStyle name="注释 3 2 4 8 2" xfId="13630"/>
    <cellStyle name="注释 3 2 4 8 2 2" xfId="13631"/>
    <cellStyle name="注释 3 2 4 8 2 2 2" xfId="13632"/>
    <cellStyle name="注释 3 2 4 8 3" xfId="13633"/>
    <cellStyle name="注释 3 2 4 8 3 2" xfId="13634"/>
    <cellStyle name="注释 3 2 4 9" xfId="13635"/>
    <cellStyle name="注释 3 2 4 9 2" xfId="13636"/>
    <cellStyle name="注释 3 2 5" xfId="13637"/>
    <cellStyle name="注释 3 2 5 2" xfId="13638"/>
    <cellStyle name="注释 3 2 6" xfId="13639"/>
    <cellStyle name="注释 3 2 6 2" xfId="13640"/>
    <cellStyle name="注释 3 2 7" xfId="13641"/>
    <cellStyle name="注释 3 2 7 2" xfId="13642"/>
    <cellStyle name="注释 3 2 8" xfId="13643"/>
    <cellStyle name="注释 3 2 8 2" xfId="13644"/>
    <cellStyle name="注释 3 2 9" xfId="13645"/>
    <cellStyle name="注释 3 2 9 2" xfId="13646"/>
    <cellStyle name="注释 3 3" xfId="958"/>
    <cellStyle name="注释 3 3 2" xfId="2386"/>
    <cellStyle name="注释 3 3 2 2" xfId="4960"/>
    <cellStyle name="注释 3 3 2 2 2" xfId="13647"/>
    <cellStyle name="注释 3 3 2 2 2 2" xfId="13648"/>
    <cellStyle name="注释 3 3 2 2 3" xfId="13649"/>
    <cellStyle name="注释 3 3 2 2 3 2" xfId="13650"/>
    <cellStyle name="注释 3 3 2 2 4" xfId="13651"/>
    <cellStyle name="注释 3 3 2 2 4 2" xfId="13652"/>
    <cellStyle name="注释 3 3 2 2 5" xfId="13653"/>
    <cellStyle name="注释 3 3 2 2 5 2" xfId="13654"/>
    <cellStyle name="注释 3 3 2 2 6" xfId="13655"/>
    <cellStyle name="注释 3 3 2 2 6 2" xfId="13656"/>
    <cellStyle name="注释 3 3 2 2 7" xfId="13657"/>
    <cellStyle name="注释 3 3 2 2 7 2" xfId="13658"/>
    <cellStyle name="注释 3 3 2 2 7 2 2" xfId="13659"/>
    <cellStyle name="注释 3 3 2 2 7 2 2 2" xfId="13660"/>
    <cellStyle name="注释 3 3 2 2 7 3" xfId="13661"/>
    <cellStyle name="注释 3 3 2 2 7 3 2" xfId="13662"/>
    <cellStyle name="注释 3 3 2 2 8" xfId="13663"/>
    <cellStyle name="注释 3 3 2 2 8 2" xfId="13664"/>
    <cellStyle name="注释 3 3 2 2 8 2 2" xfId="13665"/>
    <cellStyle name="注释 3 3 2 2 8 2 2 2" xfId="13666"/>
    <cellStyle name="注释 3 3 2 2 8 3" xfId="13667"/>
    <cellStyle name="注释 3 3 2 2 8 3 2" xfId="13668"/>
    <cellStyle name="注释 3 3 2 2 9" xfId="13669"/>
    <cellStyle name="注释 3 3 2 2 9 2" xfId="13670"/>
    <cellStyle name="注释 3 3 2 3" xfId="13671"/>
    <cellStyle name="注释 3 3 2 3 2" xfId="13672"/>
    <cellStyle name="注释 3 3 2 4" xfId="13673"/>
    <cellStyle name="注释 3 3 2 4 2" xfId="13674"/>
    <cellStyle name="注释 3 3 2 5" xfId="13675"/>
    <cellStyle name="注释 3 3 2 5 2" xfId="13676"/>
    <cellStyle name="注释 3 3 2 6" xfId="13677"/>
    <cellStyle name="注释 3 3 2 6 2" xfId="13678"/>
    <cellStyle name="注释 3 3 2 7" xfId="13679"/>
    <cellStyle name="注释 3 3 2 7 2" xfId="13680"/>
    <cellStyle name="注释 3 3 2 8" xfId="13681"/>
    <cellStyle name="注释 3 3 2 8 2" xfId="13682"/>
    <cellStyle name="注释 3 3 3" xfId="4959"/>
    <cellStyle name="注释 3 3 3 2" xfId="13683"/>
    <cellStyle name="注释 3 3 3 2 2" xfId="13684"/>
    <cellStyle name="注释 3 3 3 3" xfId="13685"/>
    <cellStyle name="注释 3 3 3 3 2" xfId="13686"/>
    <cellStyle name="注释 3 3 3 4" xfId="13687"/>
    <cellStyle name="注释 3 3 3 4 2" xfId="13688"/>
    <cellStyle name="注释 3 3 3 5" xfId="13689"/>
    <cellStyle name="注释 3 3 3 5 2" xfId="13690"/>
    <cellStyle name="注释 3 3 3 6" xfId="13691"/>
    <cellStyle name="注释 3 3 3 6 2" xfId="13692"/>
    <cellStyle name="注释 3 3 3 7" xfId="13693"/>
    <cellStyle name="注释 3 3 3 7 2" xfId="13694"/>
    <cellStyle name="注释 3 3 3 7 2 2" xfId="13695"/>
    <cellStyle name="注释 3 3 3 7 2 2 2" xfId="13696"/>
    <cellStyle name="注释 3 3 3 7 3" xfId="13697"/>
    <cellStyle name="注释 3 3 3 7 3 2" xfId="13698"/>
    <cellStyle name="注释 3 3 3 8" xfId="13699"/>
    <cellStyle name="注释 3 3 3 8 2" xfId="13700"/>
    <cellStyle name="注释 3 3 3 8 2 2" xfId="13701"/>
    <cellStyle name="注释 3 3 3 8 2 2 2" xfId="13702"/>
    <cellStyle name="注释 3 3 3 8 3" xfId="13703"/>
    <cellStyle name="注释 3 3 3 8 3 2" xfId="13704"/>
    <cellStyle name="注释 3 3 3 9" xfId="13705"/>
    <cellStyle name="注释 3 3 3 9 2" xfId="13706"/>
    <cellStyle name="注释 3 3 4" xfId="13707"/>
    <cellStyle name="注释 3 3 4 2" xfId="13708"/>
    <cellStyle name="注释 3 3 5" xfId="13709"/>
    <cellStyle name="注释 3 3 5 2" xfId="13710"/>
    <cellStyle name="注释 3 3 6" xfId="13711"/>
    <cellStyle name="注释 3 3 6 2" xfId="13712"/>
    <cellStyle name="注释 3 3 7" xfId="13713"/>
    <cellStyle name="注释 3 3 7 2" xfId="13714"/>
    <cellStyle name="注释 3 3 8" xfId="13715"/>
    <cellStyle name="注释 3 3 8 2" xfId="13716"/>
    <cellStyle name="注释 3 3 9" xfId="13717"/>
    <cellStyle name="注释 3 3 9 2" xfId="13718"/>
    <cellStyle name="注释 3 4" xfId="2387"/>
    <cellStyle name="注释 3 4 2" xfId="4961"/>
    <cellStyle name="注释 3 4 2 2" xfId="13719"/>
    <cellStyle name="注释 3 4 2 2 2" xfId="13720"/>
    <cellStyle name="注释 3 4 2 3" xfId="13721"/>
    <cellStyle name="注释 3 4 2 3 2" xfId="13722"/>
    <cellStyle name="注释 3 4 2 4" xfId="13723"/>
    <cellStyle name="注释 3 4 2 4 2" xfId="13724"/>
    <cellStyle name="注释 3 4 2 5" xfId="13725"/>
    <cellStyle name="注释 3 4 2 5 2" xfId="13726"/>
    <cellStyle name="注释 3 4 2 6" xfId="13727"/>
    <cellStyle name="注释 3 4 2 6 2" xfId="13728"/>
    <cellStyle name="注释 3 4 2 7" xfId="13729"/>
    <cellStyle name="注释 3 4 2 7 2" xfId="13730"/>
    <cellStyle name="注释 3 4 2 7 2 2" xfId="13731"/>
    <cellStyle name="注释 3 4 2 7 2 2 2" xfId="13732"/>
    <cellStyle name="注释 3 4 2 7 3" xfId="13733"/>
    <cellStyle name="注释 3 4 2 7 3 2" xfId="13734"/>
    <cellStyle name="注释 3 4 2 8" xfId="13735"/>
    <cellStyle name="注释 3 4 2 8 2" xfId="13736"/>
    <cellStyle name="注释 3 4 2 8 2 2" xfId="13737"/>
    <cellStyle name="注释 3 4 2 8 2 2 2" xfId="13738"/>
    <cellStyle name="注释 3 4 2 8 3" xfId="13739"/>
    <cellStyle name="注释 3 4 2 8 3 2" xfId="13740"/>
    <cellStyle name="注释 3 4 2 9" xfId="13741"/>
    <cellStyle name="注释 3 4 2 9 2" xfId="13742"/>
    <cellStyle name="注释 3 4 3" xfId="13743"/>
    <cellStyle name="注释 3 4 3 2" xfId="13744"/>
    <cellStyle name="注释 3 4 4" xfId="13745"/>
    <cellStyle name="注释 3 4 4 2" xfId="13746"/>
    <cellStyle name="注释 3 4 5" xfId="13747"/>
    <cellStyle name="注释 3 4 5 2" xfId="13748"/>
    <cellStyle name="注释 3 4 6" xfId="13749"/>
    <cellStyle name="注释 3 4 6 2" xfId="13750"/>
    <cellStyle name="注释 3 4 7" xfId="13751"/>
    <cellStyle name="注释 3 4 7 2" xfId="13752"/>
    <cellStyle name="注释 3 4 8" xfId="13753"/>
    <cellStyle name="注释 3 4 8 2" xfId="13754"/>
    <cellStyle name="注释 3 5" xfId="2799"/>
    <cellStyle name="注释 3 5 2" xfId="13755"/>
    <cellStyle name="注释 3 5 2 2" xfId="13756"/>
    <cellStyle name="注释 3 5 3" xfId="13757"/>
    <cellStyle name="注释 3 5 3 2" xfId="13758"/>
    <cellStyle name="注释 3 5 4" xfId="13759"/>
    <cellStyle name="注释 3 5 4 2" xfId="13760"/>
    <cellStyle name="注释 3 5 5" xfId="13761"/>
    <cellStyle name="注释 3 5 5 2" xfId="13762"/>
    <cellStyle name="注释 3 5 6" xfId="13763"/>
    <cellStyle name="注释 3 5 6 2" xfId="13764"/>
    <cellStyle name="注释 3 5 7" xfId="13765"/>
    <cellStyle name="注释 3 5 7 2" xfId="13766"/>
    <cellStyle name="注释 3 5 7 2 2" xfId="13767"/>
    <cellStyle name="注释 3 5 7 2 2 2" xfId="13768"/>
    <cellStyle name="注释 3 5 7 3" xfId="13769"/>
    <cellStyle name="注释 3 5 7 3 2" xfId="13770"/>
    <cellStyle name="注释 3 5 8" xfId="13771"/>
    <cellStyle name="注释 3 5 8 2" xfId="13772"/>
    <cellStyle name="注释 3 5 8 2 2" xfId="13773"/>
    <cellStyle name="注释 3 5 8 2 2 2" xfId="13774"/>
    <cellStyle name="注释 3 5 8 3" xfId="13775"/>
    <cellStyle name="注释 3 5 8 3 2" xfId="13776"/>
    <cellStyle name="注释 3 5 9" xfId="13777"/>
    <cellStyle name="注释 3 5 9 2" xfId="13778"/>
    <cellStyle name="注释 3 6" xfId="13779"/>
    <cellStyle name="注释 3 6 2" xfId="13780"/>
    <cellStyle name="注释 3 7" xfId="13781"/>
    <cellStyle name="注释 3 7 2" xfId="13782"/>
    <cellStyle name="注释 3 8" xfId="13783"/>
    <cellStyle name="注释 3 8 2" xfId="13784"/>
    <cellStyle name="注释 3 9" xfId="13785"/>
    <cellStyle name="注释 3 9 2" xfId="13786"/>
    <cellStyle name="注释 4" xfId="1025"/>
    <cellStyle name="注释 4 10" xfId="13787"/>
    <cellStyle name="注释 4 10 2" xfId="13788"/>
    <cellStyle name="注释 4 2" xfId="1091"/>
    <cellStyle name="注释 4 2 2" xfId="1531"/>
    <cellStyle name="注释 4 2 2 2" xfId="4964"/>
    <cellStyle name="注释 4 2 2 2 2" xfId="13789"/>
    <cellStyle name="注释 4 2 2 2 2 2" xfId="13790"/>
    <cellStyle name="注释 4 2 2 2 3" xfId="13791"/>
    <cellStyle name="注释 4 2 2 2 3 2" xfId="13792"/>
    <cellStyle name="注释 4 2 2 2 4" xfId="13793"/>
    <cellStyle name="注释 4 2 2 2 4 2" xfId="13794"/>
    <cellStyle name="注释 4 2 2 2 5" xfId="13795"/>
    <cellStyle name="注释 4 2 2 2 5 2" xfId="13796"/>
    <cellStyle name="注释 4 2 2 2 6" xfId="13797"/>
    <cellStyle name="注释 4 2 2 2 6 2" xfId="13798"/>
    <cellStyle name="注释 4 2 2 2 7" xfId="13799"/>
    <cellStyle name="注释 4 2 2 2 7 2" xfId="13800"/>
    <cellStyle name="注释 4 2 2 2 7 2 2" xfId="13801"/>
    <cellStyle name="注释 4 2 2 2 7 2 2 2" xfId="13802"/>
    <cellStyle name="注释 4 2 2 2 7 3" xfId="13803"/>
    <cellStyle name="注释 4 2 2 2 7 3 2" xfId="13804"/>
    <cellStyle name="注释 4 2 2 2 8" xfId="13805"/>
    <cellStyle name="注释 4 2 2 2 8 2" xfId="13806"/>
    <cellStyle name="注释 4 2 2 2 8 2 2" xfId="13807"/>
    <cellStyle name="注释 4 2 2 2 8 2 2 2" xfId="13808"/>
    <cellStyle name="注释 4 2 2 2 8 3" xfId="13809"/>
    <cellStyle name="注释 4 2 2 2 8 3 2" xfId="13810"/>
    <cellStyle name="注释 4 2 2 2 9" xfId="13811"/>
    <cellStyle name="注释 4 2 2 2 9 2" xfId="13812"/>
    <cellStyle name="注释 4 2 2 3" xfId="13813"/>
    <cellStyle name="注释 4 2 2 3 2" xfId="13814"/>
    <cellStyle name="注释 4 2 2 4" xfId="13815"/>
    <cellStyle name="注释 4 2 2 4 2" xfId="13816"/>
    <cellStyle name="注释 4 2 2 5" xfId="13817"/>
    <cellStyle name="注释 4 2 2 5 2" xfId="13818"/>
    <cellStyle name="注释 4 2 2 6" xfId="13819"/>
    <cellStyle name="注释 4 2 2 6 2" xfId="13820"/>
    <cellStyle name="注释 4 2 2 7" xfId="13821"/>
    <cellStyle name="注释 4 2 2 7 2" xfId="13822"/>
    <cellStyle name="注释 4 2 2 8" xfId="13823"/>
    <cellStyle name="注释 4 2 2 8 2" xfId="13824"/>
    <cellStyle name="注释 4 2 3" xfId="4963"/>
    <cellStyle name="注释 4 2 3 2" xfId="13825"/>
    <cellStyle name="注释 4 2 3 2 2" xfId="13826"/>
    <cellStyle name="注释 4 2 3 3" xfId="13827"/>
    <cellStyle name="注释 4 2 3 3 2" xfId="13828"/>
    <cellStyle name="注释 4 2 3 4" xfId="13829"/>
    <cellStyle name="注释 4 2 3 4 2" xfId="13830"/>
    <cellStyle name="注释 4 2 3 5" xfId="13831"/>
    <cellStyle name="注释 4 2 3 5 2" xfId="13832"/>
    <cellStyle name="注释 4 2 3 6" xfId="13833"/>
    <cellStyle name="注释 4 2 3 6 2" xfId="13834"/>
    <cellStyle name="注释 4 2 3 7" xfId="13835"/>
    <cellStyle name="注释 4 2 3 7 2" xfId="13836"/>
    <cellStyle name="注释 4 2 3 7 2 2" xfId="13837"/>
    <cellStyle name="注释 4 2 3 7 2 2 2" xfId="13838"/>
    <cellStyle name="注释 4 2 3 7 3" xfId="13839"/>
    <cellStyle name="注释 4 2 3 7 3 2" xfId="13840"/>
    <cellStyle name="注释 4 2 3 8" xfId="13841"/>
    <cellStyle name="注释 4 2 3 8 2" xfId="13842"/>
    <cellStyle name="注释 4 2 3 8 2 2" xfId="13843"/>
    <cellStyle name="注释 4 2 3 8 2 2 2" xfId="13844"/>
    <cellStyle name="注释 4 2 3 8 3" xfId="13845"/>
    <cellStyle name="注释 4 2 3 8 3 2" xfId="13846"/>
    <cellStyle name="注释 4 2 3 9" xfId="13847"/>
    <cellStyle name="注释 4 2 3 9 2" xfId="13848"/>
    <cellStyle name="注释 4 2 4" xfId="13849"/>
    <cellStyle name="注释 4 2 4 2" xfId="13850"/>
    <cellStyle name="注释 4 2 5" xfId="13851"/>
    <cellStyle name="注释 4 2 5 2" xfId="13852"/>
    <cellStyle name="注释 4 2 6" xfId="13853"/>
    <cellStyle name="注释 4 2 6 2" xfId="13854"/>
    <cellStyle name="注释 4 2 7" xfId="13855"/>
    <cellStyle name="注释 4 2 7 2" xfId="13856"/>
    <cellStyle name="注释 4 2 8" xfId="13857"/>
    <cellStyle name="注释 4 2 8 2" xfId="13858"/>
    <cellStyle name="注释 4 2 9" xfId="13859"/>
    <cellStyle name="注释 4 2 9 2" xfId="13860"/>
    <cellStyle name="注释 4 3" xfId="1534"/>
    <cellStyle name="注释 4 3 2" xfId="4965"/>
    <cellStyle name="注释 4 3 2 2" xfId="13861"/>
    <cellStyle name="注释 4 3 2 2 2" xfId="13862"/>
    <cellStyle name="注释 4 3 2 3" xfId="13863"/>
    <cellStyle name="注释 4 3 2 3 2" xfId="13864"/>
    <cellStyle name="注释 4 3 2 4" xfId="13865"/>
    <cellStyle name="注释 4 3 2 4 2" xfId="13866"/>
    <cellStyle name="注释 4 3 2 5" xfId="13867"/>
    <cellStyle name="注释 4 3 2 5 2" xfId="13868"/>
    <cellStyle name="注释 4 3 2 6" xfId="13869"/>
    <cellStyle name="注释 4 3 2 6 2" xfId="13870"/>
    <cellStyle name="注释 4 3 2 7" xfId="13871"/>
    <cellStyle name="注释 4 3 2 7 2" xfId="13872"/>
    <cellStyle name="注释 4 3 2 7 2 2" xfId="13873"/>
    <cellStyle name="注释 4 3 2 7 2 2 2" xfId="13874"/>
    <cellStyle name="注释 4 3 2 7 3" xfId="13875"/>
    <cellStyle name="注释 4 3 2 7 3 2" xfId="13876"/>
    <cellStyle name="注释 4 3 2 8" xfId="13877"/>
    <cellStyle name="注释 4 3 2 8 2" xfId="13878"/>
    <cellStyle name="注释 4 3 2 8 2 2" xfId="13879"/>
    <cellStyle name="注释 4 3 2 8 2 2 2" xfId="13880"/>
    <cellStyle name="注释 4 3 2 8 3" xfId="13881"/>
    <cellStyle name="注释 4 3 2 8 3 2" xfId="13882"/>
    <cellStyle name="注释 4 3 2 9" xfId="13883"/>
    <cellStyle name="注释 4 3 2 9 2" xfId="13884"/>
    <cellStyle name="注释 4 3 3" xfId="13885"/>
    <cellStyle name="注释 4 3 3 2" xfId="13886"/>
    <cellStyle name="注释 4 3 4" xfId="13887"/>
    <cellStyle name="注释 4 3 4 2" xfId="13888"/>
    <cellStyle name="注释 4 3 5" xfId="13889"/>
    <cellStyle name="注释 4 3 5 2" xfId="13890"/>
    <cellStyle name="注释 4 3 6" xfId="13891"/>
    <cellStyle name="注释 4 3 6 2" xfId="13892"/>
    <cellStyle name="注释 4 3 7" xfId="13893"/>
    <cellStyle name="注释 4 3 7 2" xfId="13894"/>
    <cellStyle name="注释 4 3 8" xfId="13895"/>
    <cellStyle name="注释 4 3 8 2" xfId="13896"/>
    <cellStyle name="注释 4 4" xfId="4962"/>
    <cellStyle name="注释 4 4 2" xfId="13897"/>
    <cellStyle name="注释 4 4 2 2" xfId="13898"/>
    <cellStyle name="注释 4 4 3" xfId="13899"/>
    <cellStyle name="注释 4 4 3 2" xfId="13900"/>
    <cellStyle name="注释 4 4 4" xfId="13901"/>
    <cellStyle name="注释 4 4 4 2" xfId="13902"/>
    <cellStyle name="注释 4 4 5" xfId="13903"/>
    <cellStyle name="注释 4 4 5 2" xfId="13904"/>
    <cellStyle name="注释 4 4 6" xfId="13905"/>
    <cellStyle name="注释 4 4 6 2" xfId="13906"/>
    <cellStyle name="注释 4 4 7" xfId="13907"/>
    <cellStyle name="注释 4 4 7 2" xfId="13908"/>
    <cellStyle name="注释 4 4 7 2 2" xfId="13909"/>
    <cellStyle name="注释 4 4 7 2 2 2" xfId="13910"/>
    <cellStyle name="注释 4 4 7 3" xfId="13911"/>
    <cellStyle name="注释 4 4 7 3 2" xfId="13912"/>
    <cellStyle name="注释 4 4 8" xfId="13913"/>
    <cellStyle name="注释 4 4 8 2" xfId="13914"/>
    <cellStyle name="注释 4 4 8 2 2" xfId="13915"/>
    <cellStyle name="注释 4 4 8 2 2 2" xfId="13916"/>
    <cellStyle name="注释 4 4 8 3" xfId="13917"/>
    <cellStyle name="注释 4 4 8 3 2" xfId="13918"/>
    <cellStyle name="注释 4 4 9" xfId="13919"/>
    <cellStyle name="注释 4 4 9 2" xfId="13920"/>
    <cellStyle name="注释 4 5" xfId="13921"/>
    <cellStyle name="注释 4 5 2" xfId="13922"/>
    <cellStyle name="注释 4 6" xfId="13923"/>
    <cellStyle name="注释 4 6 2" xfId="13924"/>
    <cellStyle name="注释 4 7" xfId="13925"/>
    <cellStyle name="注释 4 7 2" xfId="13926"/>
    <cellStyle name="注释 4 8" xfId="13927"/>
    <cellStyle name="注释 4 8 2" xfId="13928"/>
    <cellStyle name="注释 4 9" xfId="13929"/>
    <cellStyle name="注释 4 9 2" xfId="13930"/>
    <cellStyle name="注释 5" xfId="2388"/>
    <cellStyle name="注释 5 10" xfId="13931"/>
    <cellStyle name="注释 5 10 2" xfId="13932"/>
    <cellStyle name="注释 5 2" xfId="2057"/>
    <cellStyle name="注释 5 2 2" xfId="256"/>
    <cellStyle name="注释 5 2 2 2" xfId="4968"/>
    <cellStyle name="注释 5 2 2 2 2" xfId="13933"/>
    <cellStyle name="注释 5 2 2 2 2 2" xfId="13934"/>
    <cellStyle name="注释 5 2 2 2 3" xfId="13935"/>
    <cellStyle name="注释 5 2 2 2 3 2" xfId="13936"/>
    <cellStyle name="注释 5 2 2 2 4" xfId="13937"/>
    <cellStyle name="注释 5 2 2 2 4 2" xfId="13938"/>
    <cellStyle name="注释 5 2 2 2 5" xfId="13939"/>
    <cellStyle name="注释 5 2 2 2 5 2" xfId="13940"/>
    <cellStyle name="注释 5 2 2 2 6" xfId="13941"/>
    <cellStyle name="注释 5 2 2 2 6 2" xfId="13942"/>
    <cellStyle name="注释 5 2 2 2 7" xfId="13943"/>
    <cellStyle name="注释 5 2 2 2 7 2" xfId="13944"/>
    <cellStyle name="注释 5 2 2 2 7 2 2" xfId="13945"/>
    <cellStyle name="注释 5 2 2 2 7 2 2 2" xfId="13946"/>
    <cellStyle name="注释 5 2 2 2 7 3" xfId="13947"/>
    <cellStyle name="注释 5 2 2 2 7 3 2" xfId="13948"/>
    <cellStyle name="注释 5 2 2 2 8" xfId="13949"/>
    <cellStyle name="注释 5 2 2 2 8 2" xfId="13950"/>
    <cellStyle name="注释 5 2 2 2 8 2 2" xfId="13951"/>
    <cellStyle name="注释 5 2 2 2 8 2 2 2" xfId="13952"/>
    <cellStyle name="注释 5 2 2 2 8 3" xfId="13953"/>
    <cellStyle name="注释 5 2 2 2 8 3 2" xfId="13954"/>
    <cellStyle name="注释 5 2 2 2 9" xfId="13955"/>
    <cellStyle name="注释 5 2 2 2 9 2" xfId="13956"/>
    <cellStyle name="注释 5 2 2 3" xfId="13957"/>
    <cellStyle name="注释 5 2 2 3 2" xfId="13958"/>
    <cellStyle name="注释 5 2 2 4" xfId="13959"/>
    <cellStyle name="注释 5 2 2 4 2" xfId="13960"/>
    <cellStyle name="注释 5 2 2 5" xfId="13961"/>
    <cellStyle name="注释 5 2 2 5 2" xfId="13962"/>
    <cellStyle name="注释 5 2 2 6" xfId="13963"/>
    <cellStyle name="注释 5 2 2 6 2" xfId="13964"/>
    <cellStyle name="注释 5 2 2 7" xfId="13965"/>
    <cellStyle name="注释 5 2 2 7 2" xfId="13966"/>
    <cellStyle name="注释 5 2 2 8" xfId="13967"/>
    <cellStyle name="注释 5 2 2 8 2" xfId="13968"/>
    <cellStyle name="注释 5 2 3" xfId="4967"/>
    <cellStyle name="注释 5 2 3 2" xfId="13969"/>
    <cellStyle name="注释 5 2 3 2 2" xfId="13970"/>
    <cellStyle name="注释 5 2 3 3" xfId="13971"/>
    <cellStyle name="注释 5 2 3 3 2" xfId="13972"/>
    <cellStyle name="注释 5 2 3 4" xfId="13973"/>
    <cellStyle name="注释 5 2 3 4 2" xfId="13974"/>
    <cellStyle name="注释 5 2 3 5" xfId="13975"/>
    <cellStyle name="注释 5 2 3 5 2" xfId="13976"/>
    <cellStyle name="注释 5 2 3 6" xfId="13977"/>
    <cellStyle name="注释 5 2 3 6 2" xfId="13978"/>
    <cellStyle name="注释 5 2 3 7" xfId="13979"/>
    <cellStyle name="注释 5 2 3 7 2" xfId="13980"/>
    <cellStyle name="注释 5 2 3 7 2 2" xfId="13981"/>
    <cellStyle name="注释 5 2 3 7 2 2 2" xfId="13982"/>
    <cellStyle name="注释 5 2 3 7 3" xfId="13983"/>
    <cellStyle name="注释 5 2 3 7 3 2" xfId="13984"/>
    <cellStyle name="注释 5 2 3 8" xfId="13985"/>
    <cellStyle name="注释 5 2 3 8 2" xfId="13986"/>
    <cellStyle name="注释 5 2 3 8 2 2" xfId="13987"/>
    <cellStyle name="注释 5 2 3 8 2 2 2" xfId="13988"/>
    <cellStyle name="注释 5 2 3 8 3" xfId="13989"/>
    <cellStyle name="注释 5 2 3 8 3 2" xfId="13990"/>
    <cellStyle name="注释 5 2 3 9" xfId="13991"/>
    <cellStyle name="注释 5 2 3 9 2" xfId="13992"/>
    <cellStyle name="注释 5 2 4" xfId="13993"/>
    <cellStyle name="注释 5 2 4 2" xfId="13994"/>
    <cellStyle name="注释 5 2 5" xfId="13995"/>
    <cellStyle name="注释 5 2 5 2" xfId="13996"/>
    <cellStyle name="注释 5 2 6" xfId="13997"/>
    <cellStyle name="注释 5 2 6 2" xfId="13998"/>
    <cellStyle name="注释 5 2 7" xfId="13999"/>
    <cellStyle name="注释 5 2 7 2" xfId="14000"/>
    <cellStyle name="注释 5 2 8" xfId="14001"/>
    <cellStyle name="注释 5 2 8 2" xfId="14002"/>
    <cellStyle name="注释 5 2 9" xfId="14003"/>
    <cellStyle name="注释 5 2 9 2" xfId="14004"/>
    <cellStyle name="注释 5 3" xfId="2389"/>
    <cellStyle name="注释 5 3 2" xfId="4969"/>
    <cellStyle name="注释 5 3 2 2" xfId="14005"/>
    <cellStyle name="注释 5 3 2 2 2" xfId="14006"/>
    <cellStyle name="注释 5 3 2 3" xfId="14007"/>
    <cellStyle name="注释 5 3 2 3 2" xfId="14008"/>
    <cellStyle name="注释 5 3 2 4" xfId="14009"/>
    <cellStyle name="注释 5 3 2 4 2" xfId="14010"/>
    <cellStyle name="注释 5 3 2 5" xfId="14011"/>
    <cellStyle name="注释 5 3 2 5 2" xfId="14012"/>
    <cellStyle name="注释 5 3 2 6" xfId="14013"/>
    <cellStyle name="注释 5 3 2 6 2" xfId="14014"/>
    <cellStyle name="注释 5 3 2 7" xfId="14015"/>
    <cellStyle name="注释 5 3 2 7 2" xfId="14016"/>
    <cellStyle name="注释 5 3 2 7 2 2" xfId="14017"/>
    <cellStyle name="注释 5 3 2 7 2 2 2" xfId="14018"/>
    <cellStyle name="注释 5 3 2 7 3" xfId="14019"/>
    <cellStyle name="注释 5 3 2 7 3 2" xfId="14020"/>
    <cellStyle name="注释 5 3 2 8" xfId="14021"/>
    <cellStyle name="注释 5 3 2 8 2" xfId="14022"/>
    <cellStyle name="注释 5 3 2 8 2 2" xfId="14023"/>
    <cellStyle name="注释 5 3 2 8 2 2 2" xfId="14024"/>
    <cellStyle name="注释 5 3 2 8 3" xfId="14025"/>
    <cellStyle name="注释 5 3 2 8 3 2" xfId="14026"/>
    <cellStyle name="注释 5 3 2 9" xfId="14027"/>
    <cellStyle name="注释 5 3 2 9 2" xfId="14028"/>
    <cellStyle name="注释 5 3 3" xfId="14029"/>
    <cellStyle name="注释 5 3 3 2" xfId="14030"/>
    <cellStyle name="注释 5 3 4" xfId="14031"/>
    <cellStyle name="注释 5 3 4 2" xfId="14032"/>
    <cellStyle name="注释 5 3 5" xfId="14033"/>
    <cellStyle name="注释 5 3 5 2" xfId="14034"/>
    <cellStyle name="注释 5 3 6" xfId="14035"/>
    <cellStyle name="注释 5 3 6 2" xfId="14036"/>
    <cellStyle name="注释 5 3 7" xfId="14037"/>
    <cellStyle name="注释 5 3 7 2" xfId="14038"/>
    <cellStyle name="注释 5 3 8" xfId="14039"/>
    <cellStyle name="注释 5 3 8 2" xfId="14040"/>
    <cellStyle name="注释 5 4" xfId="4966"/>
    <cellStyle name="注释 5 4 2" xfId="14041"/>
    <cellStyle name="注释 5 4 2 2" xfId="14042"/>
    <cellStyle name="注释 5 4 3" xfId="14043"/>
    <cellStyle name="注释 5 4 3 2" xfId="14044"/>
    <cellStyle name="注释 5 4 4" xfId="14045"/>
    <cellStyle name="注释 5 4 4 2" xfId="14046"/>
    <cellStyle name="注释 5 4 5" xfId="14047"/>
    <cellStyle name="注释 5 4 5 2" xfId="14048"/>
    <cellStyle name="注释 5 4 6" xfId="14049"/>
    <cellStyle name="注释 5 4 6 2" xfId="14050"/>
    <cellStyle name="注释 5 4 7" xfId="14051"/>
    <cellStyle name="注释 5 4 7 2" xfId="14052"/>
    <cellStyle name="注释 5 4 7 2 2" xfId="14053"/>
    <cellStyle name="注释 5 4 7 2 2 2" xfId="14054"/>
    <cellStyle name="注释 5 4 7 3" xfId="14055"/>
    <cellStyle name="注释 5 4 7 3 2" xfId="14056"/>
    <cellStyle name="注释 5 4 8" xfId="14057"/>
    <cellStyle name="注释 5 4 8 2" xfId="14058"/>
    <cellStyle name="注释 5 4 8 2 2" xfId="14059"/>
    <cellStyle name="注释 5 4 8 2 2 2" xfId="14060"/>
    <cellStyle name="注释 5 4 8 3" xfId="14061"/>
    <cellStyle name="注释 5 4 8 3 2" xfId="14062"/>
    <cellStyle name="注释 5 4 9" xfId="14063"/>
    <cellStyle name="注释 5 4 9 2" xfId="14064"/>
    <cellStyle name="注释 5 5" xfId="14065"/>
    <cellStyle name="注释 5 5 2" xfId="14066"/>
    <cellStyle name="注释 5 6" xfId="14067"/>
    <cellStyle name="注释 5 6 2" xfId="14068"/>
    <cellStyle name="注释 5 7" xfId="14069"/>
    <cellStyle name="注释 5 7 2" xfId="14070"/>
    <cellStyle name="注释 5 8" xfId="14071"/>
    <cellStyle name="注释 5 8 2" xfId="14072"/>
    <cellStyle name="注释 5 9" xfId="14073"/>
    <cellStyle name="注释 5 9 2" xfId="14074"/>
    <cellStyle name="注释 6" xfId="2390"/>
    <cellStyle name="注释 6 2" xfId="2391"/>
    <cellStyle name="注释 6 2 2" xfId="4971"/>
    <cellStyle name="注释 6 2 2 2" xfId="14075"/>
    <cellStyle name="注释 6 2 2 2 2" xfId="14076"/>
    <cellStyle name="注释 6 2 2 3" xfId="14077"/>
    <cellStyle name="注释 6 2 2 3 2" xfId="14078"/>
    <cellStyle name="注释 6 2 2 4" xfId="14079"/>
    <cellStyle name="注释 6 2 2 4 2" xfId="14080"/>
    <cellStyle name="注释 6 2 2 5" xfId="14081"/>
    <cellStyle name="注释 6 2 2 5 2" xfId="14082"/>
    <cellStyle name="注释 6 2 2 6" xfId="14083"/>
    <cellStyle name="注释 6 2 2 6 2" xfId="14084"/>
    <cellStyle name="注释 6 2 2 7" xfId="14085"/>
    <cellStyle name="注释 6 2 2 7 2" xfId="14086"/>
    <cellStyle name="注释 6 2 2 7 2 2" xfId="14087"/>
    <cellStyle name="注释 6 2 2 7 2 2 2" xfId="14088"/>
    <cellStyle name="注释 6 2 2 7 3" xfId="14089"/>
    <cellStyle name="注释 6 2 2 7 3 2" xfId="14090"/>
    <cellStyle name="注释 6 2 2 8" xfId="14091"/>
    <cellStyle name="注释 6 2 2 8 2" xfId="14092"/>
    <cellStyle name="注释 6 2 2 8 2 2" xfId="14093"/>
    <cellStyle name="注释 6 2 2 8 2 2 2" xfId="14094"/>
    <cellStyle name="注释 6 2 2 8 3" xfId="14095"/>
    <cellStyle name="注释 6 2 2 8 3 2" xfId="14096"/>
    <cellStyle name="注释 6 2 2 9" xfId="14097"/>
    <cellStyle name="注释 6 2 2 9 2" xfId="14098"/>
    <cellStyle name="注释 6 2 3" xfId="14099"/>
    <cellStyle name="注释 6 2 3 2" xfId="14100"/>
    <cellStyle name="注释 6 2 4" xfId="14101"/>
    <cellStyle name="注释 6 2 4 2" xfId="14102"/>
    <cellStyle name="注释 6 2 5" xfId="14103"/>
    <cellStyle name="注释 6 2 5 2" xfId="14104"/>
    <cellStyle name="注释 6 2 6" xfId="14105"/>
    <cellStyle name="注释 6 2 6 2" xfId="14106"/>
    <cellStyle name="注释 6 2 7" xfId="14107"/>
    <cellStyle name="注释 6 2 7 2" xfId="14108"/>
    <cellStyle name="注释 6 2 8" xfId="14109"/>
    <cellStyle name="注释 6 2 8 2" xfId="14110"/>
    <cellStyle name="注释 6 3" xfId="4970"/>
    <cellStyle name="注释 6 3 2" xfId="14111"/>
    <cellStyle name="注释 6 3 2 2" xfId="14112"/>
    <cellStyle name="注释 6 3 3" xfId="14113"/>
    <cellStyle name="注释 6 3 3 2" xfId="14114"/>
    <cellStyle name="注释 6 3 4" xfId="14115"/>
    <cellStyle name="注释 6 3 4 2" xfId="14116"/>
    <cellStyle name="注释 6 3 5" xfId="14117"/>
    <cellStyle name="注释 6 3 5 2" xfId="14118"/>
    <cellStyle name="注释 6 3 6" xfId="14119"/>
    <cellStyle name="注释 6 3 6 2" xfId="14120"/>
    <cellStyle name="注释 6 3 7" xfId="14121"/>
    <cellStyle name="注释 6 3 7 2" xfId="14122"/>
    <cellStyle name="注释 6 3 7 2 2" xfId="14123"/>
    <cellStyle name="注释 6 3 7 2 2 2" xfId="14124"/>
    <cellStyle name="注释 6 3 7 3" xfId="14125"/>
    <cellStyle name="注释 6 3 7 3 2" xfId="14126"/>
    <cellStyle name="注释 6 3 8" xfId="14127"/>
    <cellStyle name="注释 6 3 8 2" xfId="14128"/>
    <cellStyle name="注释 6 3 8 2 2" xfId="14129"/>
    <cellStyle name="注释 6 3 8 2 2 2" xfId="14130"/>
    <cellStyle name="注释 6 3 8 3" xfId="14131"/>
    <cellStyle name="注释 6 3 8 3 2" xfId="14132"/>
    <cellStyle name="注释 6 3 9" xfId="14133"/>
    <cellStyle name="注释 6 3 9 2" xfId="14134"/>
    <cellStyle name="注释 6 4" xfId="14135"/>
    <cellStyle name="注释 6 4 2" xfId="14136"/>
    <cellStyle name="注释 6 5" xfId="14137"/>
    <cellStyle name="注释 6 5 2" xfId="14138"/>
    <cellStyle name="注释 6 6" xfId="14139"/>
    <cellStyle name="注释 6 6 2" xfId="14140"/>
    <cellStyle name="注释 6 7" xfId="14141"/>
    <cellStyle name="注释 6 7 2" xfId="14142"/>
    <cellStyle name="注释 6 8" xfId="14143"/>
    <cellStyle name="注释 6 8 2" xfId="14144"/>
    <cellStyle name="注释 6 9" xfId="14145"/>
    <cellStyle name="注释 6 9 2" xfId="14146"/>
    <cellStyle name="注释 7" xfId="704"/>
    <cellStyle name="注释 7 2" xfId="4972"/>
    <cellStyle name="注释 7 2 2" xfId="14147"/>
    <cellStyle name="注释 7 2 2 2" xfId="14148"/>
    <cellStyle name="注释 7 2 3" xfId="14149"/>
    <cellStyle name="注释 7 2 3 2" xfId="14150"/>
    <cellStyle name="注释 7 2 4" xfId="14151"/>
    <cellStyle name="注释 7 2 4 2" xfId="14152"/>
    <cellStyle name="注释 7 2 5" xfId="14153"/>
    <cellStyle name="注释 7 2 5 2" xfId="14154"/>
    <cellStyle name="注释 7 2 6" xfId="14155"/>
    <cellStyle name="注释 7 2 6 2" xfId="14156"/>
    <cellStyle name="注释 7 2 7" xfId="14157"/>
    <cellStyle name="注释 7 2 7 2" xfId="14158"/>
    <cellStyle name="注释 7 2 7 2 2" xfId="14159"/>
    <cellStyle name="注释 7 2 7 2 2 2" xfId="14160"/>
    <cellStyle name="注释 7 2 7 3" xfId="14161"/>
    <cellStyle name="注释 7 2 7 3 2" xfId="14162"/>
    <cellStyle name="注释 7 2 8" xfId="14163"/>
    <cellStyle name="注释 7 2 8 2" xfId="14164"/>
    <cellStyle name="注释 7 2 8 2 2" xfId="14165"/>
    <cellStyle name="注释 7 2 8 2 2 2" xfId="14166"/>
    <cellStyle name="注释 7 2 8 3" xfId="14167"/>
    <cellStyle name="注释 7 2 8 3 2" xfId="14168"/>
    <cellStyle name="注释 7 2 9" xfId="14169"/>
    <cellStyle name="注释 7 2 9 2" xfId="14170"/>
    <cellStyle name="注释 7 3" xfId="14171"/>
    <cellStyle name="注释 7 3 2" xfId="14172"/>
    <cellStyle name="注释 7 4" xfId="14173"/>
    <cellStyle name="注释 7 4 2" xfId="14174"/>
    <cellStyle name="注释 7 5" xfId="14175"/>
    <cellStyle name="注释 7 5 2" xfId="14176"/>
    <cellStyle name="注释 7 6" xfId="14177"/>
    <cellStyle name="注释 7 6 2" xfId="14178"/>
    <cellStyle name="注释 7 7" xfId="14179"/>
    <cellStyle name="注释 7 7 2" xfId="14180"/>
    <cellStyle name="注释 7 8" xfId="14181"/>
    <cellStyle name="注释 7 8 2" xfId="14182"/>
    <cellStyle name="注释 8" xfId="2792"/>
    <cellStyle name="注释 8 2" xfId="14183"/>
    <cellStyle name="注释 8 2 2" xfId="14184"/>
    <cellStyle name="注释 8 3" xfId="14185"/>
    <cellStyle name="注释 8 3 2" xfId="14186"/>
    <cellStyle name="注释 8 4" xfId="14187"/>
    <cellStyle name="注释 8 4 2" xfId="14188"/>
    <cellStyle name="注释 8 5" xfId="14189"/>
    <cellStyle name="注释 8 5 2" xfId="14190"/>
    <cellStyle name="注释 8 6" xfId="14191"/>
    <cellStyle name="注释 8 6 2" xfId="14192"/>
    <cellStyle name="注释 8 7" xfId="14193"/>
    <cellStyle name="注释 8 7 2" xfId="14194"/>
    <cellStyle name="注释 8 7 2 2" xfId="14195"/>
    <cellStyle name="注释 8 7 2 2 2" xfId="14196"/>
    <cellStyle name="注释 8 7 3" xfId="14197"/>
    <cellStyle name="注释 8 7 3 2" xfId="14198"/>
    <cellStyle name="注释 8 8" xfId="14199"/>
    <cellStyle name="注释 8 8 2" xfId="14200"/>
    <cellStyle name="注释 8 8 2 2" xfId="14201"/>
    <cellStyle name="注释 8 8 2 2 2" xfId="14202"/>
    <cellStyle name="注释 8 8 3" xfId="14203"/>
    <cellStyle name="注释 8 8 3 2" xfId="14204"/>
    <cellStyle name="注释 8 9" xfId="14205"/>
    <cellStyle name="注释 8 9 2" xfId="14206"/>
    <cellStyle name="注释 9" xfId="2536"/>
    <cellStyle name="注释 9 2" xfId="14207"/>
    <cellStyle name="注释 9 2 2" xfId="14208"/>
    <cellStyle name="注释 9 3" xfId="14209"/>
    <cellStyle name="注释 9 3 2" xfId="14210"/>
    <cellStyle name="注释 9 4" xfId="14211"/>
    <cellStyle name="注释 9 4 2" xfId="14212"/>
    <cellStyle name="注释 9 5" xfId="14213"/>
    <cellStyle name="注释 9 5 2" xfId="14214"/>
    <cellStyle name="注释 9 6" xfId="14215"/>
    <cellStyle name="注释 9 6 2" xfId="14216"/>
  </cellStyles>
  <dxfs count="7">
    <dxf>
      <font>
        <b val="0"/>
        <condense val="0"/>
        <extend val="0"/>
        <color indexed="10"/>
      </font>
    </dxf>
    <dxf>
      <font>
        <b val="0"/>
        <condense val="0"/>
        <extend val="0"/>
        <color indexed="1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 val="0"/>
        <condense val="0"/>
        <extend val="0"/>
        <color indexed="10"/>
      </font>
    </dxf>
    <dxf>
      <font>
        <b val="0"/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10.52.0.117\Budgetserver\&#39044;&#31639;&#21496;\BY\YS3\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10.52.0.117\DBSERVER\&#39044;&#31639;&#21496;\&#20849;&#20139;&#25968;&#25454;\&#21382;&#24180;&#20915;&#31639;\1996&#24180;\1996&#24180;&#30465;&#25253;&#20915;&#31639;\2021&#28246;&#21271;&#3046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3"/>
  <sheetViews>
    <sheetView zoomScale="115" zoomScaleNormal="115" workbookViewId="0">
      <selection activeCell="D18" sqref="D18"/>
    </sheetView>
  </sheetViews>
  <sheetFormatPr defaultColWidth="9" defaultRowHeight="14.25"/>
  <cols>
    <col min="1" max="1" width="4.375" style="64" customWidth="1"/>
    <col min="2" max="2" width="77.375" style="3" customWidth="1"/>
    <col min="3" max="7" width="9" style="3"/>
    <col min="8" max="8" width="58.625" style="3" customWidth="1"/>
    <col min="9" max="16384" width="9" style="3"/>
  </cols>
  <sheetData>
    <row r="1" spans="1:2" ht="20.25" customHeight="1">
      <c r="A1" s="248" t="s">
        <v>277</v>
      </c>
      <c r="B1" s="248"/>
    </row>
    <row r="2" spans="1:2" s="1" customFormat="1" ht="29.25" customHeight="1">
      <c r="A2" s="250" t="s">
        <v>668</v>
      </c>
      <c r="B2" s="250"/>
    </row>
    <row r="3" spans="1:2" ht="21.75" customHeight="1">
      <c r="A3" s="249" t="s">
        <v>601</v>
      </c>
      <c r="B3" s="249"/>
    </row>
    <row r="4" spans="1:2" s="2" customFormat="1" ht="21.75" customHeight="1">
      <c r="A4" s="75" t="s">
        <v>0</v>
      </c>
      <c r="B4" s="76" t="s">
        <v>669</v>
      </c>
    </row>
    <row r="5" spans="1:2" s="2" customFormat="1" ht="21.75" customHeight="1">
      <c r="A5" s="75" t="s">
        <v>1</v>
      </c>
      <c r="B5" s="76" t="s">
        <v>670</v>
      </c>
    </row>
    <row r="6" spans="1:2" s="2" customFormat="1" ht="21.75" customHeight="1">
      <c r="A6" s="75" t="s">
        <v>2</v>
      </c>
      <c r="B6" s="76" t="s">
        <v>671</v>
      </c>
    </row>
    <row r="7" spans="1:2" s="2" customFormat="1" ht="21.75" customHeight="1">
      <c r="A7" s="75" t="s">
        <v>3</v>
      </c>
      <c r="B7" s="76" t="s">
        <v>672</v>
      </c>
    </row>
    <row r="8" spans="1:2" s="2" customFormat="1" ht="21.75" customHeight="1">
      <c r="A8" s="75" t="s">
        <v>206</v>
      </c>
      <c r="B8" s="76" t="s">
        <v>673</v>
      </c>
    </row>
    <row r="9" spans="1:2" s="2" customFormat="1" ht="21.75" customHeight="1">
      <c r="A9" s="75" t="s">
        <v>207</v>
      </c>
      <c r="B9" s="76" t="s">
        <v>674</v>
      </c>
    </row>
    <row r="10" spans="1:2" s="2" customFormat="1" ht="21.75" customHeight="1">
      <c r="A10" s="75" t="s">
        <v>208</v>
      </c>
      <c r="B10" s="76" t="s">
        <v>675</v>
      </c>
    </row>
    <row r="11" spans="1:2" s="2" customFormat="1" ht="21.75" customHeight="1">
      <c r="A11" s="75" t="s">
        <v>209</v>
      </c>
      <c r="B11" s="76" t="s">
        <v>676</v>
      </c>
    </row>
    <row r="12" spans="1:2" s="2" customFormat="1" ht="21.75" customHeight="1">
      <c r="A12" s="75" t="s">
        <v>295</v>
      </c>
      <c r="B12" s="76" t="s">
        <v>677</v>
      </c>
    </row>
    <row r="13" spans="1:2" s="2" customFormat="1" ht="21.75" customHeight="1">
      <c r="A13" s="75" t="s">
        <v>296</v>
      </c>
      <c r="B13" s="76" t="s">
        <v>678</v>
      </c>
    </row>
    <row r="14" spans="1:2" s="2" customFormat="1" ht="21.75" customHeight="1">
      <c r="A14" s="75" t="s">
        <v>210</v>
      </c>
      <c r="B14" s="76" t="s">
        <v>679</v>
      </c>
    </row>
    <row r="15" spans="1:2" s="2" customFormat="1" ht="21.75" customHeight="1">
      <c r="A15" s="75" t="s">
        <v>211</v>
      </c>
      <c r="B15" s="76" t="s">
        <v>680</v>
      </c>
    </row>
    <row r="16" spans="1:2" s="2" customFormat="1" ht="21.75" customHeight="1">
      <c r="A16" s="75" t="s">
        <v>212</v>
      </c>
      <c r="B16" s="76" t="s">
        <v>681</v>
      </c>
    </row>
    <row r="17" spans="1:8" s="2" customFormat="1" ht="21.75" customHeight="1">
      <c r="A17" s="75" t="s">
        <v>213</v>
      </c>
      <c r="B17" s="76" t="s">
        <v>682</v>
      </c>
    </row>
    <row r="18" spans="1:8" s="2" customFormat="1" ht="21.75" customHeight="1">
      <c r="A18" s="75" t="s">
        <v>214</v>
      </c>
      <c r="B18" s="76" t="s">
        <v>683</v>
      </c>
    </row>
    <row r="19" spans="1:8" s="2" customFormat="1" ht="21.75" customHeight="1">
      <c r="A19" s="75" t="s">
        <v>215</v>
      </c>
      <c r="B19" s="76" t="s">
        <v>684</v>
      </c>
    </row>
    <row r="20" spans="1:8" s="2" customFormat="1" ht="21.75" customHeight="1">
      <c r="A20" s="75" t="s">
        <v>216</v>
      </c>
      <c r="B20" s="76" t="s">
        <v>685</v>
      </c>
    </row>
    <row r="21" spans="1:8" s="2" customFormat="1" ht="21.75" customHeight="1">
      <c r="A21" s="75" t="s">
        <v>217</v>
      </c>
      <c r="B21" s="76" t="s">
        <v>686</v>
      </c>
    </row>
    <row r="22" spans="1:8" s="2" customFormat="1" ht="21.75" customHeight="1">
      <c r="A22" s="75" t="s">
        <v>218</v>
      </c>
      <c r="B22" s="76" t="s">
        <v>687</v>
      </c>
    </row>
    <row r="23" spans="1:8" s="2" customFormat="1" ht="21.75" customHeight="1">
      <c r="A23" s="75" t="s">
        <v>219</v>
      </c>
      <c r="B23" s="76" t="s">
        <v>688</v>
      </c>
    </row>
    <row r="24" spans="1:8" s="2" customFormat="1" ht="21.75" customHeight="1">
      <c r="A24" s="75" t="s">
        <v>220</v>
      </c>
      <c r="B24" s="76" t="s">
        <v>689</v>
      </c>
    </row>
    <row r="25" spans="1:8" s="2" customFormat="1" ht="21.75" customHeight="1">
      <c r="A25" s="75" t="s">
        <v>221</v>
      </c>
      <c r="B25" s="76" t="s">
        <v>690</v>
      </c>
    </row>
    <row r="26" spans="1:8" ht="21.75" customHeight="1">
      <c r="A26" s="249" t="s">
        <v>602</v>
      </c>
      <c r="B26" s="249"/>
      <c r="G26" s="65"/>
      <c r="H26" s="65"/>
    </row>
    <row r="27" spans="1:8" ht="21.75" customHeight="1">
      <c r="A27" s="75" t="s">
        <v>222</v>
      </c>
      <c r="B27" s="77" t="s">
        <v>751</v>
      </c>
      <c r="G27" s="65"/>
      <c r="H27" s="65"/>
    </row>
    <row r="28" spans="1:8" ht="21.75" customHeight="1">
      <c r="A28" s="75" t="s">
        <v>223</v>
      </c>
      <c r="B28" s="77" t="s">
        <v>752</v>
      </c>
      <c r="G28" s="65"/>
      <c r="H28" s="65"/>
    </row>
    <row r="29" spans="1:8" ht="21.75" customHeight="1">
      <c r="A29" s="75" t="s">
        <v>224</v>
      </c>
      <c r="B29" s="77" t="s">
        <v>753</v>
      </c>
      <c r="G29" s="65"/>
      <c r="H29" s="65"/>
    </row>
    <row r="30" spans="1:8" ht="21.75" customHeight="1">
      <c r="A30" s="75" t="s">
        <v>225</v>
      </c>
      <c r="B30" s="77" t="s">
        <v>754</v>
      </c>
      <c r="G30" s="65"/>
      <c r="H30" s="65"/>
    </row>
    <row r="31" spans="1:8" ht="21.75" customHeight="1">
      <c r="A31" s="75" t="s">
        <v>595</v>
      </c>
      <c r="B31" s="97" t="s">
        <v>691</v>
      </c>
    </row>
    <row r="32" spans="1:8" ht="14.25" customHeight="1">
      <c r="A32" s="96"/>
      <c r="B32" s="96"/>
    </row>
    <row r="33" spans="1:2" ht="42.6" customHeight="1">
      <c r="A33" s="96"/>
      <c r="B33" s="96"/>
    </row>
  </sheetData>
  <mergeCells count="4">
    <mergeCell ref="A1:B1"/>
    <mergeCell ref="A26:B26"/>
    <mergeCell ref="A2:B2"/>
    <mergeCell ref="A3:B3"/>
  </mergeCells>
  <phoneticPr fontId="37" type="noConversion"/>
  <pageMargins left="0.70866141732283472" right="0.70866141732283472" top="0.74803149606299213" bottom="0.74803149606299213" header="0.31496062992125984" footer="0.31496062992125984"/>
  <pageSetup paperSize="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2"/>
  <sheetViews>
    <sheetView zoomScaleNormal="100" workbookViewId="0">
      <selection activeCell="A11" sqref="A11"/>
    </sheetView>
  </sheetViews>
  <sheetFormatPr defaultRowHeight="14.25"/>
  <cols>
    <col min="1" max="1" width="44.625" style="110" bestFit="1" customWidth="1"/>
    <col min="2" max="2" width="12.125" style="110" customWidth="1"/>
    <col min="3" max="3" width="14" style="110" customWidth="1"/>
    <col min="4" max="4" width="15.125" style="110" customWidth="1"/>
    <col min="5" max="16384" width="9" style="110"/>
  </cols>
  <sheetData>
    <row r="1" spans="1:7" ht="18" customHeight="1">
      <c r="A1" s="109" t="s">
        <v>124</v>
      </c>
      <c r="B1" s="109"/>
    </row>
    <row r="2" spans="1:7" ht="33.75" customHeight="1">
      <c r="A2" s="251" t="s">
        <v>692</v>
      </c>
      <c r="B2" s="251"/>
      <c r="C2" s="251"/>
      <c r="D2" s="251"/>
    </row>
    <row r="3" spans="1:7">
      <c r="A3" s="111"/>
      <c r="B3" s="109"/>
      <c r="D3" s="112" t="s">
        <v>19</v>
      </c>
    </row>
    <row r="4" spans="1:7" ht="44.45" customHeight="1">
      <c r="A4" s="54" t="s">
        <v>118</v>
      </c>
      <c r="B4" s="55" t="s">
        <v>18</v>
      </c>
      <c r="C4" s="56" t="s">
        <v>369</v>
      </c>
      <c r="D4" s="56" t="s">
        <v>604</v>
      </c>
    </row>
    <row r="5" spans="1:7" ht="15" customHeight="1">
      <c r="A5" s="7" t="s">
        <v>4</v>
      </c>
      <c r="B5" s="100">
        <f>SUM(B6:B20)</f>
        <v>758640</v>
      </c>
      <c r="C5" s="100">
        <f>SUM(C6:C20)</f>
        <v>852020</v>
      </c>
      <c r="D5" s="103">
        <f>IF(B5=0,0,B5*100/C5)</f>
        <v>89.04</v>
      </c>
    </row>
    <row r="6" spans="1:7" ht="15" customHeight="1">
      <c r="A6" s="93" t="s">
        <v>372</v>
      </c>
      <c r="B6" s="100">
        <v>274000</v>
      </c>
      <c r="C6" s="100">
        <v>378500</v>
      </c>
      <c r="D6" s="103">
        <f t="shared" ref="D6:D38" si="0">IF(B6=0,0,B6*100/C6)</f>
        <v>72.39</v>
      </c>
    </row>
    <row r="7" spans="1:7" ht="15" customHeight="1">
      <c r="A7" s="93" t="s">
        <v>597</v>
      </c>
      <c r="B7" s="100">
        <v>82000</v>
      </c>
      <c r="C7" s="100">
        <v>113000</v>
      </c>
      <c r="D7" s="103">
        <f t="shared" si="0"/>
        <v>72.569999999999993</v>
      </c>
    </row>
    <row r="8" spans="1:7" ht="15" customHeight="1">
      <c r="A8" s="93" t="s">
        <v>598</v>
      </c>
      <c r="B8" s="100">
        <v>24600</v>
      </c>
      <c r="C8" s="100">
        <v>50000</v>
      </c>
      <c r="D8" s="103">
        <f t="shared" si="0"/>
        <v>49.2</v>
      </c>
    </row>
    <row r="9" spans="1:7" ht="15" customHeight="1">
      <c r="A9" s="93" t="s">
        <v>373</v>
      </c>
      <c r="B9" s="100">
        <v>15500</v>
      </c>
      <c r="C9" s="100">
        <v>14800</v>
      </c>
      <c r="D9" s="103">
        <f t="shared" si="0"/>
        <v>104.73</v>
      </c>
      <c r="G9" s="26"/>
    </row>
    <row r="10" spans="1:7" ht="15" customHeight="1">
      <c r="A10" s="93" t="s">
        <v>374</v>
      </c>
      <c r="B10" s="100">
        <v>48540</v>
      </c>
      <c r="C10" s="100">
        <v>45800</v>
      </c>
      <c r="D10" s="103">
        <f t="shared" si="0"/>
        <v>105.98</v>
      </c>
    </row>
    <row r="11" spans="1:7" ht="15" customHeight="1">
      <c r="A11" s="93" t="s">
        <v>375</v>
      </c>
      <c r="B11" s="100">
        <v>45000</v>
      </c>
      <c r="C11" s="100">
        <v>32000</v>
      </c>
      <c r="D11" s="103">
        <f t="shared" si="0"/>
        <v>140.63</v>
      </c>
    </row>
    <row r="12" spans="1:7" ht="15" customHeight="1">
      <c r="A12" s="93" t="s">
        <v>376</v>
      </c>
      <c r="B12" s="100">
        <v>20500</v>
      </c>
      <c r="C12" s="100">
        <v>15000</v>
      </c>
      <c r="D12" s="103">
        <f t="shared" si="0"/>
        <v>136.66999999999999</v>
      </c>
    </row>
    <row r="13" spans="1:7" ht="15" customHeight="1">
      <c r="A13" s="93" t="s">
        <v>377</v>
      </c>
      <c r="B13" s="100">
        <v>18000</v>
      </c>
      <c r="C13" s="100">
        <v>18200</v>
      </c>
      <c r="D13" s="103">
        <f t="shared" si="0"/>
        <v>98.9</v>
      </c>
    </row>
    <row r="14" spans="1:7" ht="15" customHeight="1">
      <c r="A14" s="93" t="s">
        <v>378</v>
      </c>
      <c r="B14" s="100">
        <v>87000</v>
      </c>
      <c r="C14" s="100">
        <v>65000</v>
      </c>
      <c r="D14" s="103">
        <f t="shared" si="0"/>
        <v>133.85</v>
      </c>
    </row>
    <row r="15" spans="1:7" ht="15" customHeight="1">
      <c r="A15" s="93" t="s">
        <v>379</v>
      </c>
      <c r="B15" s="100">
        <v>17800</v>
      </c>
      <c r="C15" s="100">
        <v>14200</v>
      </c>
      <c r="D15" s="103">
        <f t="shared" si="0"/>
        <v>125.35</v>
      </c>
    </row>
    <row r="16" spans="1:7" ht="15" customHeight="1">
      <c r="A16" s="93" t="s">
        <v>380</v>
      </c>
      <c r="B16" s="100">
        <v>13800</v>
      </c>
      <c r="C16" s="100">
        <v>6500</v>
      </c>
      <c r="D16" s="103">
        <f t="shared" si="0"/>
        <v>212.31</v>
      </c>
    </row>
    <row r="17" spans="1:4" ht="15" customHeight="1">
      <c r="A17" s="93" t="s">
        <v>381</v>
      </c>
      <c r="B17" s="100">
        <v>60000</v>
      </c>
      <c r="C17" s="100">
        <v>62300</v>
      </c>
      <c r="D17" s="103">
        <f t="shared" si="0"/>
        <v>96.31</v>
      </c>
    </row>
    <row r="18" spans="1:4" ht="15" customHeight="1">
      <c r="A18" s="93" t="s">
        <v>382</v>
      </c>
      <c r="B18" s="100">
        <v>47900</v>
      </c>
      <c r="C18" s="100">
        <v>33100</v>
      </c>
      <c r="D18" s="103">
        <f t="shared" si="0"/>
        <v>144.71</v>
      </c>
    </row>
    <row r="19" spans="1:4" ht="15" customHeight="1">
      <c r="A19" s="108" t="s">
        <v>383</v>
      </c>
      <c r="B19" s="102">
        <v>3500</v>
      </c>
      <c r="C19" s="102">
        <v>3400</v>
      </c>
      <c r="D19" s="103">
        <f t="shared" si="0"/>
        <v>102.94</v>
      </c>
    </row>
    <row r="20" spans="1:4" ht="15" customHeight="1">
      <c r="A20" s="108" t="s">
        <v>384</v>
      </c>
      <c r="B20" s="102">
        <v>500</v>
      </c>
      <c r="C20" s="102">
        <v>220</v>
      </c>
      <c r="D20" s="103"/>
    </row>
    <row r="21" spans="1:4" ht="15" customHeight="1">
      <c r="A21" s="7" t="s">
        <v>6</v>
      </c>
      <c r="B21" s="100">
        <f>SUM(B22:B29)</f>
        <v>410580</v>
      </c>
      <c r="C21" s="100">
        <f>SUM(C22:C29)</f>
        <v>339880</v>
      </c>
      <c r="D21" s="103">
        <f t="shared" si="0"/>
        <v>120.8</v>
      </c>
    </row>
    <row r="22" spans="1:4" ht="15" customHeight="1">
      <c r="A22" s="4" t="s">
        <v>10</v>
      </c>
      <c r="B22" s="100">
        <v>110240</v>
      </c>
      <c r="C22" s="101">
        <v>91000</v>
      </c>
      <c r="D22" s="103">
        <f t="shared" si="0"/>
        <v>121.14</v>
      </c>
    </row>
    <row r="23" spans="1:4" ht="15" customHeight="1">
      <c r="A23" s="4" t="s">
        <v>11</v>
      </c>
      <c r="B23" s="100">
        <v>35500</v>
      </c>
      <c r="C23" s="101">
        <v>43500</v>
      </c>
      <c r="D23" s="103">
        <f t="shared" si="0"/>
        <v>81.61</v>
      </c>
    </row>
    <row r="24" spans="1:4" ht="15" customHeight="1">
      <c r="A24" s="4" t="s">
        <v>12</v>
      </c>
      <c r="B24" s="100">
        <v>105000</v>
      </c>
      <c r="C24" s="101">
        <v>83300</v>
      </c>
      <c r="D24" s="103">
        <f t="shared" si="0"/>
        <v>126.05</v>
      </c>
    </row>
    <row r="25" spans="1:4" ht="15" customHeight="1">
      <c r="A25" s="4" t="s">
        <v>13</v>
      </c>
      <c r="B25" s="100">
        <v>16500</v>
      </c>
      <c r="C25" s="101">
        <v>6500</v>
      </c>
      <c r="D25" s="103">
        <f t="shared" si="0"/>
        <v>253.85</v>
      </c>
    </row>
    <row r="26" spans="1:4" ht="15" customHeight="1">
      <c r="A26" s="4" t="s">
        <v>14</v>
      </c>
      <c r="B26" s="100">
        <v>119000</v>
      </c>
      <c r="C26" s="101">
        <v>97200</v>
      </c>
      <c r="D26" s="103">
        <f t="shared" si="0"/>
        <v>122.43</v>
      </c>
    </row>
    <row r="27" spans="1:4" ht="15" customHeight="1">
      <c r="A27" s="4" t="s">
        <v>15</v>
      </c>
      <c r="B27" s="100">
        <v>2340</v>
      </c>
      <c r="C27" s="101">
        <v>3000</v>
      </c>
      <c r="D27" s="103">
        <f t="shared" si="0"/>
        <v>78</v>
      </c>
    </row>
    <row r="28" spans="1:4" ht="15" customHeight="1">
      <c r="A28" s="4" t="s">
        <v>16</v>
      </c>
      <c r="B28" s="100">
        <v>16000</v>
      </c>
      <c r="C28" s="101">
        <v>10500</v>
      </c>
      <c r="D28" s="103">
        <f t="shared" si="0"/>
        <v>152.38</v>
      </c>
    </row>
    <row r="29" spans="1:4" ht="15" customHeight="1">
      <c r="A29" s="4" t="s">
        <v>17</v>
      </c>
      <c r="B29" s="100">
        <v>6000</v>
      </c>
      <c r="C29" s="101">
        <v>4880</v>
      </c>
      <c r="D29" s="103">
        <f t="shared" si="0"/>
        <v>122.95</v>
      </c>
    </row>
    <row r="30" spans="1:4" ht="15" customHeight="1">
      <c r="A30" s="104" t="s">
        <v>236</v>
      </c>
      <c r="B30" s="100">
        <f>B21+B5</f>
        <v>1169220</v>
      </c>
      <c r="C30" s="100">
        <f>C21+C5</f>
        <v>1191900</v>
      </c>
      <c r="D30" s="103">
        <f t="shared" si="0"/>
        <v>98.1</v>
      </c>
    </row>
    <row r="31" spans="1:4" ht="15" customHeight="1">
      <c r="A31" s="8" t="s">
        <v>596</v>
      </c>
      <c r="B31" s="100">
        <f>B32+B36+B37</f>
        <v>1658165</v>
      </c>
      <c r="C31" s="100">
        <f>C32+C36+C37</f>
        <v>1461672</v>
      </c>
      <c r="D31" s="105">
        <f t="shared" si="0"/>
        <v>113.44</v>
      </c>
    </row>
    <row r="32" spans="1:4" ht="15" customHeight="1">
      <c r="A32" s="6" t="s">
        <v>115</v>
      </c>
      <c r="B32" s="100">
        <f>SUM(B33:B35)</f>
        <v>1056475</v>
      </c>
      <c r="C32" s="100">
        <f>SUM(C33:C35)</f>
        <v>902851</v>
      </c>
      <c r="D32" s="105">
        <f t="shared" si="0"/>
        <v>117.02</v>
      </c>
    </row>
    <row r="33" spans="1:4" ht="15" customHeight="1">
      <c r="A33" s="51" t="s">
        <v>233</v>
      </c>
      <c r="B33" s="100">
        <v>78751</v>
      </c>
      <c r="C33" s="106">
        <v>78751</v>
      </c>
      <c r="D33" s="105">
        <f t="shared" si="0"/>
        <v>100</v>
      </c>
    </row>
    <row r="34" spans="1:4" ht="15" customHeight="1">
      <c r="A34" s="51" t="s">
        <v>234</v>
      </c>
      <c r="B34" s="100">
        <v>929325</v>
      </c>
      <c r="C34" s="99">
        <v>776980</v>
      </c>
      <c r="D34" s="105">
        <f t="shared" si="0"/>
        <v>119.61</v>
      </c>
    </row>
    <row r="35" spans="1:4" ht="15" customHeight="1">
      <c r="A35" s="51" t="s">
        <v>235</v>
      </c>
      <c r="B35" s="100">
        <v>48399</v>
      </c>
      <c r="C35" s="101">
        <v>47120.29</v>
      </c>
      <c r="D35" s="105">
        <f t="shared" si="0"/>
        <v>102.71</v>
      </c>
    </row>
    <row r="36" spans="1:4" ht="15" customHeight="1">
      <c r="A36" s="5" t="s">
        <v>21</v>
      </c>
      <c r="B36" s="100">
        <v>528855</v>
      </c>
      <c r="C36" s="101">
        <v>485986</v>
      </c>
      <c r="D36" s="105">
        <f t="shared" si="0"/>
        <v>108.82</v>
      </c>
    </row>
    <row r="37" spans="1:4" ht="15" customHeight="1">
      <c r="A37" s="6" t="s">
        <v>256</v>
      </c>
      <c r="B37" s="100">
        <v>72835</v>
      </c>
      <c r="C37" s="101">
        <v>72835</v>
      </c>
      <c r="D37" s="105">
        <f t="shared" si="0"/>
        <v>100</v>
      </c>
    </row>
    <row r="38" spans="1:4" ht="15" customHeight="1">
      <c r="A38" s="189" t="s">
        <v>237</v>
      </c>
      <c r="B38" s="187">
        <f>B31+B30</f>
        <v>2827385</v>
      </c>
      <c r="C38" s="187">
        <f>C31+C30</f>
        <v>2653572</v>
      </c>
      <c r="D38" s="190">
        <f t="shared" si="0"/>
        <v>106.55</v>
      </c>
    </row>
    <row r="39" spans="1:4">
      <c r="A39" s="113"/>
      <c r="B39" s="109"/>
    </row>
    <row r="40" spans="1:4">
      <c r="A40" s="109"/>
      <c r="B40" s="109"/>
    </row>
    <row r="41" spans="1:4">
      <c r="A41" s="109"/>
      <c r="B41" s="109"/>
    </row>
    <row r="42" spans="1:4">
      <c r="A42" s="109"/>
      <c r="B42" s="109"/>
    </row>
  </sheetData>
  <mergeCells count="1">
    <mergeCell ref="A2:D2"/>
  </mergeCells>
  <phoneticPr fontId="37" type="noConversion"/>
  <pageMargins left="0.70866141732283472" right="0.70866141732283472" top="0.74803149606299213" bottom="0.74803149606299213" header="0.31496062992125984" footer="0.31496062992125984"/>
  <pageSetup paperSize="9" scale="95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topLeftCell="A4" zoomScale="115" zoomScaleNormal="115" workbookViewId="0">
      <selection activeCell="B5" sqref="B5:B27"/>
    </sheetView>
  </sheetViews>
  <sheetFormatPr defaultRowHeight="14.25"/>
  <cols>
    <col min="1" max="1" width="35.5" style="110" customWidth="1"/>
    <col min="2" max="2" width="13.25" style="110" customWidth="1"/>
    <col min="3" max="3" width="13.875" style="110" customWidth="1"/>
    <col min="4" max="4" width="15.875" style="110" customWidth="1"/>
    <col min="5" max="16384" width="9" style="110"/>
  </cols>
  <sheetData>
    <row r="1" spans="1:4" ht="18" customHeight="1">
      <c r="A1" s="109" t="s">
        <v>27</v>
      </c>
      <c r="B1" s="109"/>
    </row>
    <row r="2" spans="1:4" ht="29.25" customHeight="1">
      <c r="A2" s="251" t="s">
        <v>693</v>
      </c>
      <c r="B2" s="251"/>
      <c r="C2" s="251"/>
      <c r="D2" s="251"/>
    </row>
    <row r="3" spans="1:4" ht="16.5" customHeight="1">
      <c r="A3" s="111"/>
      <c r="B3" s="109"/>
      <c r="D3" s="112" t="s">
        <v>19</v>
      </c>
    </row>
    <row r="4" spans="1:4" ht="42.6" customHeight="1">
      <c r="A4" s="55" t="s">
        <v>26</v>
      </c>
      <c r="B4" s="55" t="s">
        <v>18</v>
      </c>
      <c r="C4" s="56" t="s">
        <v>297</v>
      </c>
      <c r="D4" s="56" t="s">
        <v>605</v>
      </c>
    </row>
    <row r="5" spans="1:4" ht="17.25" customHeight="1">
      <c r="A5" s="114" t="s">
        <v>5</v>
      </c>
      <c r="B5" s="209">
        <v>311200</v>
      </c>
      <c r="C5" s="115">
        <v>277863</v>
      </c>
      <c r="D5" s="103">
        <f>IF(B5=0,0,B5*100/C5)</f>
        <v>112</v>
      </c>
    </row>
    <row r="6" spans="1:4" ht="17.25" customHeight="1">
      <c r="A6" s="114" t="s">
        <v>829</v>
      </c>
      <c r="B6" s="210">
        <v>115800</v>
      </c>
      <c r="C6" s="115">
        <v>109093</v>
      </c>
      <c r="D6" s="103">
        <f t="shared" ref="D6:D31" si="0">IF(B6=0,0,B6*100/C6)</f>
        <v>106.15</v>
      </c>
    </row>
    <row r="7" spans="1:4" ht="17.25" customHeight="1">
      <c r="A7" s="114" t="s">
        <v>830</v>
      </c>
      <c r="B7" s="210">
        <v>599500</v>
      </c>
      <c r="C7" s="115">
        <v>549828</v>
      </c>
      <c r="D7" s="103">
        <f t="shared" si="0"/>
        <v>109.03</v>
      </c>
    </row>
    <row r="8" spans="1:4" ht="17.25" customHeight="1">
      <c r="A8" s="114" t="s">
        <v>831</v>
      </c>
      <c r="B8" s="210">
        <v>38500</v>
      </c>
      <c r="C8" s="115">
        <v>35662</v>
      </c>
      <c r="D8" s="103">
        <f t="shared" si="0"/>
        <v>107.96</v>
      </c>
    </row>
    <row r="9" spans="1:4" ht="17.25" customHeight="1">
      <c r="A9" s="114" t="s">
        <v>832</v>
      </c>
      <c r="B9" s="210">
        <v>38100</v>
      </c>
      <c r="C9" s="115">
        <v>35185</v>
      </c>
      <c r="D9" s="103">
        <f t="shared" si="0"/>
        <v>108.28</v>
      </c>
    </row>
    <row r="10" spans="1:4" ht="17.25" customHeight="1">
      <c r="A10" s="114" t="s">
        <v>833</v>
      </c>
      <c r="B10" s="210">
        <v>378000</v>
      </c>
      <c r="C10" s="115">
        <v>359914</v>
      </c>
      <c r="D10" s="103">
        <f t="shared" si="0"/>
        <v>105.03</v>
      </c>
    </row>
    <row r="11" spans="1:4" ht="17.25" customHeight="1">
      <c r="A11" s="114" t="s">
        <v>834</v>
      </c>
      <c r="B11" s="210">
        <v>267300</v>
      </c>
      <c r="C11" s="115">
        <v>259109</v>
      </c>
      <c r="D11" s="103">
        <f t="shared" si="0"/>
        <v>103.16</v>
      </c>
    </row>
    <row r="12" spans="1:4" ht="17.25" customHeight="1">
      <c r="A12" s="114" t="s">
        <v>835</v>
      </c>
      <c r="B12" s="210">
        <v>38800</v>
      </c>
      <c r="C12" s="115">
        <v>31329</v>
      </c>
      <c r="D12" s="103">
        <f t="shared" si="0"/>
        <v>123.85</v>
      </c>
    </row>
    <row r="13" spans="1:4" ht="17.25" customHeight="1">
      <c r="A13" s="114" t="s">
        <v>836</v>
      </c>
      <c r="B13" s="210">
        <v>103100</v>
      </c>
      <c r="C13" s="115">
        <v>95545</v>
      </c>
      <c r="D13" s="103">
        <f t="shared" si="0"/>
        <v>107.91</v>
      </c>
    </row>
    <row r="14" spans="1:4" ht="17.25" customHeight="1">
      <c r="A14" s="114" t="s">
        <v>837</v>
      </c>
      <c r="B14" s="210">
        <v>378000</v>
      </c>
      <c r="C14" s="115">
        <v>349348</v>
      </c>
      <c r="D14" s="103">
        <f t="shared" si="0"/>
        <v>108.2</v>
      </c>
    </row>
    <row r="15" spans="1:4" ht="17.25" customHeight="1">
      <c r="A15" s="114" t="s">
        <v>838</v>
      </c>
      <c r="B15" s="210">
        <v>35500</v>
      </c>
      <c r="C15" s="115">
        <v>56020</v>
      </c>
      <c r="D15" s="103">
        <f t="shared" si="0"/>
        <v>63.37</v>
      </c>
    </row>
    <row r="16" spans="1:4" ht="17.25" customHeight="1">
      <c r="A16" s="114" t="s">
        <v>839</v>
      </c>
      <c r="B16" s="210">
        <v>42500</v>
      </c>
      <c r="C16" s="115">
        <v>44017</v>
      </c>
      <c r="D16" s="103">
        <f t="shared" si="0"/>
        <v>96.55</v>
      </c>
    </row>
    <row r="17" spans="1:4" ht="17.25" customHeight="1">
      <c r="A17" s="114" t="s">
        <v>840</v>
      </c>
      <c r="B17" s="210">
        <v>20400</v>
      </c>
      <c r="C17" s="115">
        <v>18699</v>
      </c>
      <c r="D17" s="103">
        <f t="shared" si="0"/>
        <v>109.1</v>
      </c>
    </row>
    <row r="18" spans="1:4" ht="17.25" customHeight="1">
      <c r="A18" s="114" t="s">
        <v>841</v>
      </c>
      <c r="B18" s="210">
        <v>690</v>
      </c>
      <c r="C18" s="115">
        <v>679</v>
      </c>
      <c r="D18" s="103">
        <f t="shared" si="0"/>
        <v>101.62</v>
      </c>
    </row>
    <row r="19" spans="1:4" ht="17.25" customHeight="1">
      <c r="A19" s="114" t="s">
        <v>842</v>
      </c>
      <c r="B19" s="210">
        <v>1070</v>
      </c>
      <c r="C19" s="115">
        <v>1068</v>
      </c>
      <c r="D19" s="103">
        <f t="shared" si="0"/>
        <v>100.19</v>
      </c>
    </row>
    <row r="20" spans="1:4" ht="17.25" customHeight="1">
      <c r="A20" s="114" t="s">
        <v>843</v>
      </c>
      <c r="B20" s="210">
        <v>25200</v>
      </c>
      <c r="C20" s="115">
        <v>23640</v>
      </c>
      <c r="D20" s="103">
        <f t="shared" si="0"/>
        <v>106.6</v>
      </c>
    </row>
    <row r="21" spans="1:4" ht="17.25" customHeight="1">
      <c r="A21" s="114" t="s">
        <v>844</v>
      </c>
      <c r="B21" s="210">
        <v>18000</v>
      </c>
      <c r="C21" s="115">
        <v>16808</v>
      </c>
      <c r="D21" s="103">
        <f t="shared" si="0"/>
        <v>107.09</v>
      </c>
    </row>
    <row r="22" spans="1:4" ht="17.25" customHeight="1">
      <c r="A22" s="114" t="s">
        <v>845</v>
      </c>
      <c r="B22" s="210">
        <v>6800</v>
      </c>
      <c r="C22" s="115">
        <v>7588</v>
      </c>
      <c r="D22" s="103">
        <f t="shared" si="0"/>
        <v>89.62</v>
      </c>
    </row>
    <row r="23" spans="1:4" ht="17.25" customHeight="1">
      <c r="A23" s="114" t="s">
        <v>846</v>
      </c>
      <c r="B23" s="210">
        <v>15320</v>
      </c>
      <c r="C23" s="115">
        <v>9958</v>
      </c>
      <c r="D23" s="103">
        <f t="shared" si="0"/>
        <v>153.85</v>
      </c>
    </row>
    <row r="24" spans="1:4" ht="17.25" customHeight="1">
      <c r="A24" s="114" t="s">
        <v>847</v>
      </c>
      <c r="B24" s="210">
        <v>25000</v>
      </c>
      <c r="C24" s="115">
        <v>25000</v>
      </c>
      <c r="D24" s="103">
        <f t="shared" si="0"/>
        <v>100</v>
      </c>
    </row>
    <row r="25" spans="1:4" ht="17.25" customHeight="1">
      <c r="A25" s="114" t="s">
        <v>848</v>
      </c>
      <c r="B25" s="210">
        <f>92000+4550</f>
        <v>96550</v>
      </c>
      <c r="C25" s="115">
        <f>87427+4345</f>
        <v>91772</v>
      </c>
      <c r="D25" s="103">
        <f t="shared" si="0"/>
        <v>105.21</v>
      </c>
    </row>
    <row r="26" spans="1:4" ht="17.25" customHeight="1">
      <c r="A26" s="114" t="s">
        <v>849</v>
      </c>
      <c r="B26" s="210">
        <v>122000</v>
      </c>
      <c r="C26" s="116">
        <v>101496</v>
      </c>
      <c r="D26" s="103">
        <f t="shared" si="0"/>
        <v>120.2</v>
      </c>
    </row>
    <row r="27" spans="1:4" ht="17.25" customHeight="1">
      <c r="A27" s="114" t="s">
        <v>850</v>
      </c>
      <c r="B27" s="210">
        <v>550</v>
      </c>
      <c r="C27" s="115">
        <v>530</v>
      </c>
      <c r="D27" s="103">
        <f t="shared" si="0"/>
        <v>103.77</v>
      </c>
    </row>
    <row r="28" spans="1:4">
      <c r="A28" s="117" t="s">
        <v>239</v>
      </c>
      <c r="B28" s="210">
        <f>SUM(B5:B27)</f>
        <v>2677880</v>
      </c>
      <c r="C28" s="210">
        <f>SUM(C5:C27)</f>
        <v>2500151</v>
      </c>
      <c r="D28" s="103">
        <f t="shared" si="0"/>
        <v>107.11</v>
      </c>
    </row>
    <row r="29" spans="1:4" ht="15.75" customHeight="1">
      <c r="A29" s="118" t="s">
        <v>9</v>
      </c>
      <c r="B29" s="210">
        <f>SUM(B30)</f>
        <v>149505</v>
      </c>
      <c r="C29" s="210">
        <f>SUM(C30)</f>
        <v>153421</v>
      </c>
      <c r="D29" s="103">
        <f t="shared" si="0"/>
        <v>97.45</v>
      </c>
    </row>
    <row r="30" spans="1:4" ht="15.75" customHeight="1">
      <c r="A30" s="119" t="s">
        <v>238</v>
      </c>
      <c r="B30" s="210">
        <v>149505</v>
      </c>
      <c r="C30" s="107">
        <v>153421</v>
      </c>
      <c r="D30" s="103">
        <f t="shared" si="0"/>
        <v>97.45</v>
      </c>
    </row>
    <row r="31" spans="1:4" ht="15.75" customHeight="1">
      <c r="A31" s="117" t="s">
        <v>240</v>
      </c>
      <c r="B31" s="210">
        <f>B29+B28</f>
        <v>2827385</v>
      </c>
      <c r="C31" s="210">
        <f>C29+C28</f>
        <v>2653572</v>
      </c>
      <c r="D31" s="103">
        <f t="shared" si="0"/>
        <v>106.55</v>
      </c>
    </row>
  </sheetData>
  <mergeCells count="1">
    <mergeCell ref="A2:D2"/>
  </mergeCells>
  <phoneticPr fontId="37" type="noConversion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44"/>
  <sheetViews>
    <sheetView zoomScaleNormal="100" workbookViewId="0">
      <selection activeCell="A2" sqref="A2:D2"/>
    </sheetView>
  </sheetViews>
  <sheetFormatPr defaultRowHeight="14.25"/>
  <cols>
    <col min="1" max="1" width="44.625" style="110" bestFit="1" customWidth="1"/>
    <col min="2" max="2" width="12.125" style="110" customWidth="1"/>
    <col min="3" max="3" width="14" style="110" customWidth="1"/>
    <col min="4" max="4" width="15.125" style="110" customWidth="1"/>
    <col min="5" max="16384" width="9" style="110"/>
  </cols>
  <sheetData>
    <row r="1" spans="1:4" ht="18" customHeight="1">
      <c r="A1" s="109" t="s">
        <v>133</v>
      </c>
      <c r="B1" s="109"/>
    </row>
    <row r="2" spans="1:4" ht="27" customHeight="1">
      <c r="A2" s="252" t="s">
        <v>694</v>
      </c>
      <c r="B2" s="252"/>
      <c r="C2" s="252"/>
      <c r="D2" s="252"/>
    </row>
    <row r="3" spans="1:4" ht="21" customHeight="1">
      <c r="A3" s="111"/>
      <c r="B3" s="109"/>
      <c r="D3" s="112" t="s">
        <v>19</v>
      </c>
    </row>
    <row r="4" spans="1:4" ht="35.25" customHeight="1">
      <c r="A4" s="54" t="s">
        <v>118</v>
      </c>
      <c r="B4" s="55" t="s">
        <v>18</v>
      </c>
      <c r="C4" s="56" t="s">
        <v>297</v>
      </c>
      <c r="D4" s="56" t="s">
        <v>605</v>
      </c>
    </row>
    <row r="5" spans="1:4" ht="16.5" customHeight="1">
      <c r="A5" s="7" t="s">
        <v>4</v>
      </c>
      <c r="B5" s="98">
        <f>SUM(B6:B20)</f>
        <v>186451</v>
      </c>
      <c r="C5" s="98">
        <f>SUM(C6:C20)</f>
        <v>185340</v>
      </c>
      <c r="D5" s="103">
        <f>IF(B5=0,0,B5*100/C5)</f>
        <v>100.6</v>
      </c>
    </row>
    <row r="6" spans="1:4" ht="16.5" customHeight="1">
      <c r="A6" s="120" t="s">
        <v>298</v>
      </c>
      <c r="B6" s="98">
        <v>89000</v>
      </c>
      <c r="C6" s="99">
        <v>93000</v>
      </c>
      <c r="D6" s="103">
        <f t="shared" ref="D6:D38" si="0">IF(B6=0,0,B6*100/C6)</f>
        <v>95.7</v>
      </c>
    </row>
    <row r="7" spans="1:4" ht="16.5" customHeight="1">
      <c r="A7" s="120" t="s">
        <v>599</v>
      </c>
      <c r="B7" s="98">
        <v>18000</v>
      </c>
      <c r="C7" s="99">
        <v>23700</v>
      </c>
      <c r="D7" s="103">
        <f t="shared" si="0"/>
        <v>75.95</v>
      </c>
    </row>
    <row r="8" spans="1:4" ht="16.5" customHeight="1">
      <c r="A8" s="120" t="s">
        <v>600</v>
      </c>
      <c r="B8" s="98">
        <v>6000</v>
      </c>
      <c r="C8" s="99">
        <v>5700</v>
      </c>
      <c r="D8" s="103">
        <f t="shared" si="0"/>
        <v>105.26</v>
      </c>
    </row>
    <row r="9" spans="1:4" ht="16.5" customHeight="1">
      <c r="A9" s="120" t="s">
        <v>299</v>
      </c>
      <c r="B9" s="98">
        <v>250</v>
      </c>
      <c r="C9" s="99">
        <v>200</v>
      </c>
      <c r="D9" s="103">
        <f t="shared" si="0"/>
        <v>125</v>
      </c>
    </row>
    <row r="10" spans="1:4" ht="16.5" customHeight="1">
      <c r="A10" s="120" t="s">
        <v>300</v>
      </c>
      <c r="B10" s="98">
        <v>20000</v>
      </c>
      <c r="C10" s="99">
        <v>15600</v>
      </c>
      <c r="D10" s="103">
        <f t="shared" si="0"/>
        <v>128.21</v>
      </c>
    </row>
    <row r="11" spans="1:4" ht="16.5" customHeight="1">
      <c r="A11" s="120" t="s">
        <v>301</v>
      </c>
      <c r="B11" s="98">
        <v>8200</v>
      </c>
      <c r="C11" s="99">
        <v>8600</v>
      </c>
      <c r="D11" s="103">
        <f t="shared" si="0"/>
        <v>95.35</v>
      </c>
    </row>
    <row r="12" spans="1:4" ht="16.5" customHeight="1">
      <c r="A12" s="120" t="s">
        <v>302</v>
      </c>
      <c r="B12" s="98">
        <v>8980</v>
      </c>
      <c r="C12" s="99">
        <v>5100</v>
      </c>
      <c r="D12" s="103">
        <f t="shared" si="0"/>
        <v>176.08</v>
      </c>
    </row>
    <row r="13" spans="1:4" ht="16.5" customHeight="1">
      <c r="A13" s="120" t="s">
        <v>303</v>
      </c>
      <c r="B13" s="98">
        <v>4200</v>
      </c>
      <c r="C13" s="99">
        <v>4500</v>
      </c>
      <c r="D13" s="103">
        <f t="shared" si="0"/>
        <v>93.33</v>
      </c>
    </row>
    <row r="14" spans="1:4" ht="16.5" customHeight="1">
      <c r="A14" s="120" t="s">
        <v>304</v>
      </c>
      <c r="B14" s="98">
        <v>19730</v>
      </c>
      <c r="C14" s="99">
        <v>13740</v>
      </c>
      <c r="D14" s="103">
        <f t="shared" si="0"/>
        <v>143.6</v>
      </c>
    </row>
    <row r="15" spans="1:4" ht="16.5" customHeight="1">
      <c r="A15" s="120" t="s">
        <v>305</v>
      </c>
      <c r="B15" s="98">
        <v>1881</v>
      </c>
      <c r="C15" s="99">
        <v>1600</v>
      </c>
      <c r="D15" s="103">
        <f t="shared" si="0"/>
        <v>117.56</v>
      </c>
    </row>
    <row r="16" spans="1:4" ht="16.5" customHeight="1">
      <c r="A16" s="121" t="s">
        <v>306</v>
      </c>
      <c r="B16" s="98">
        <v>280</v>
      </c>
      <c r="C16" s="99">
        <v>950</v>
      </c>
      <c r="D16" s="103">
        <f t="shared" si="0"/>
        <v>29.47</v>
      </c>
    </row>
    <row r="17" spans="1:4" ht="16.5" customHeight="1">
      <c r="A17" s="121" t="s">
        <v>307</v>
      </c>
      <c r="B17" s="98">
        <v>9070</v>
      </c>
      <c r="C17" s="99">
        <v>11800</v>
      </c>
      <c r="D17" s="103">
        <f t="shared" si="0"/>
        <v>76.86</v>
      </c>
    </row>
    <row r="18" spans="1:4" ht="16.5" customHeight="1">
      <c r="A18" s="121" t="s">
        <v>308</v>
      </c>
      <c r="B18" s="98">
        <v>160</v>
      </c>
      <c r="C18" s="99"/>
      <c r="D18" s="103"/>
    </row>
    <row r="19" spans="1:4" ht="16.5" customHeight="1">
      <c r="A19" s="120" t="s">
        <v>309</v>
      </c>
      <c r="B19" s="98">
        <v>700</v>
      </c>
      <c r="C19" s="99">
        <v>850</v>
      </c>
      <c r="D19" s="103">
        <f t="shared" si="0"/>
        <v>82.35</v>
      </c>
    </row>
    <row r="20" spans="1:4" ht="16.5" customHeight="1">
      <c r="A20" s="120" t="s">
        <v>310</v>
      </c>
      <c r="B20" s="98"/>
      <c r="C20" s="99"/>
      <c r="D20" s="103"/>
    </row>
    <row r="21" spans="1:4" ht="16.5" customHeight="1">
      <c r="A21" s="7" t="s">
        <v>6</v>
      </c>
      <c r="B21" s="98">
        <f>SUM(B22:B29)</f>
        <v>78113</v>
      </c>
      <c r="C21" s="98">
        <f>SUM(C22:C29)</f>
        <v>87100</v>
      </c>
      <c r="D21" s="103">
        <f t="shared" si="0"/>
        <v>89.68</v>
      </c>
    </row>
    <row r="22" spans="1:4" ht="16.5" customHeight="1">
      <c r="A22" s="4" t="s">
        <v>10</v>
      </c>
      <c r="B22" s="98">
        <v>47713</v>
      </c>
      <c r="C22" s="99">
        <v>37900</v>
      </c>
      <c r="D22" s="103">
        <f t="shared" si="0"/>
        <v>125.89</v>
      </c>
    </row>
    <row r="23" spans="1:4" ht="16.5" customHeight="1">
      <c r="A23" s="4" t="s">
        <v>11</v>
      </c>
      <c r="B23" s="98">
        <v>4500</v>
      </c>
      <c r="C23" s="99">
        <v>5500</v>
      </c>
      <c r="D23" s="103">
        <f t="shared" si="0"/>
        <v>81.819999999999993</v>
      </c>
    </row>
    <row r="24" spans="1:4" ht="16.5" customHeight="1">
      <c r="A24" s="4" t="s">
        <v>12</v>
      </c>
      <c r="B24" s="98">
        <v>11960</v>
      </c>
      <c r="C24" s="99">
        <v>15000</v>
      </c>
      <c r="D24" s="103">
        <f t="shared" si="0"/>
        <v>79.73</v>
      </c>
    </row>
    <row r="25" spans="1:4" ht="16.5" customHeight="1">
      <c r="A25" s="4" t="s">
        <v>13</v>
      </c>
      <c r="B25" s="98">
        <v>0</v>
      </c>
      <c r="C25" s="99"/>
      <c r="D25" s="103"/>
    </row>
    <row r="26" spans="1:4" ht="16.5" customHeight="1">
      <c r="A26" s="4" t="s">
        <v>14</v>
      </c>
      <c r="B26" s="98">
        <v>8600</v>
      </c>
      <c r="C26" s="99">
        <v>22000</v>
      </c>
      <c r="D26" s="103">
        <f t="shared" si="0"/>
        <v>39.090000000000003</v>
      </c>
    </row>
    <row r="27" spans="1:4" ht="16.5" customHeight="1">
      <c r="A27" s="4" t="s">
        <v>15</v>
      </c>
      <c r="B27" s="98">
        <v>800</v>
      </c>
      <c r="C27" s="99">
        <v>800</v>
      </c>
      <c r="D27" s="103">
        <f t="shared" si="0"/>
        <v>100</v>
      </c>
    </row>
    <row r="28" spans="1:4" ht="16.5" customHeight="1">
      <c r="A28" s="4" t="s">
        <v>16</v>
      </c>
      <c r="B28" s="98">
        <v>3800</v>
      </c>
      <c r="C28" s="99">
        <v>4900</v>
      </c>
      <c r="D28" s="103">
        <f t="shared" si="0"/>
        <v>77.55</v>
      </c>
    </row>
    <row r="29" spans="1:4" ht="16.5" customHeight="1">
      <c r="A29" s="4" t="s">
        <v>17</v>
      </c>
      <c r="B29" s="98">
        <v>740</v>
      </c>
      <c r="C29" s="99">
        <v>1000</v>
      </c>
      <c r="D29" s="103">
        <f t="shared" si="0"/>
        <v>74</v>
      </c>
    </row>
    <row r="30" spans="1:4" ht="16.5" customHeight="1">
      <c r="A30" s="104" t="s">
        <v>236</v>
      </c>
      <c r="B30" s="98">
        <f>B21+B5</f>
        <v>264564</v>
      </c>
      <c r="C30" s="98">
        <f>C21+C5</f>
        <v>272440</v>
      </c>
      <c r="D30" s="103">
        <f t="shared" si="0"/>
        <v>97.11</v>
      </c>
    </row>
    <row r="31" spans="1:4" ht="16.5" customHeight="1">
      <c r="A31" s="8" t="s">
        <v>596</v>
      </c>
      <c r="B31" s="98">
        <f>B32+B36+B37</f>
        <v>292023</v>
      </c>
      <c r="C31" s="98">
        <f>C32+C36+C37</f>
        <v>275974</v>
      </c>
      <c r="D31" s="103">
        <f t="shared" si="0"/>
        <v>105.82</v>
      </c>
    </row>
    <row r="32" spans="1:4" ht="16.5" customHeight="1">
      <c r="A32" s="6" t="s">
        <v>20</v>
      </c>
      <c r="B32" s="98">
        <f>SUM(B33:B35)</f>
        <v>124737</v>
      </c>
      <c r="C32" s="98">
        <f>SUM(C33:C35)</f>
        <v>141681</v>
      </c>
      <c r="D32" s="103">
        <f t="shared" si="0"/>
        <v>88.04</v>
      </c>
    </row>
    <row r="33" spans="1:4" ht="16.5" customHeight="1">
      <c r="A33" s="51" t="s">
        <v>233</v>
      </c>
      <c r="B33" s="98">
        <v>16923</v>
      </c>
      <c r="C33" s="99">
        <v>16923</v>
      </c>
      <c r="D33" s="103">
        <f t="shared" si="0"/>
        <v>100</v>
      </c>
    </row>
    <row r="34" spans="1:4" ht="16.5" customHeight="1">
      <c r="A34" s="51" t="s">
        <v>234</v>
      </c>
      <c r="B34" s="98">
        <v>77020</v>
      </c>
      <c r="C34" s="99">
        <v>95179</v>
      </c>
      <c r="D34" s="103">
        <f t="shared" si="0"/>
        <v>80.92</v>
      </c>
    </row>
    <row r="35" spans="1:4" ht="16.5" customHeight="1">
      <c r="A35" s="51" t="s">
        <v>235</v>
      </c>
      <c r="B35" s="98">
        <v>30794</v>
      </c>
      <c r="C35" s="99">
        <v>29579</v>
      </c>
      <c r="D35" s="103">
        <f t="shared" si="0"/>
        <v>104.11</v>
      </c>
    </row>
    <row r="36" spans="1:4" ht="16.5" customHeight="1">
      <c r="A36" s="5" t="s">
        <v>21</v>
      </c>
      <c r="B36" s="98">
        <v>150926</v>
      </c>
      <c r="C36" s="99">
        <v>97429</v>
      </c>
      <c r="D36" s="103">
        <f t="shared" si="0"/>
        <v>154.91</v>
      </c>
    </row>
    <row r="37" spans="1:4" ht="16.5" customHeight="1">
      <c r="A37" s="6" t="s">
        <v>275</v>
      </c>
      <c r="B37" s="98">
        <v>16360</v>
      </c>
      <c r="C37" s="99">
        <v>36864</v>
      </c>
      <c r="D37" s="103">
        <f t="shared" si="0"/>
        <v>44.38</v>
      </c>
    </row>
    <row r="38" spans="1:4" ht="16.5" customHeight="1">
      <c r="A38" s="189" t="s">
        <v>606</v>
      </c>
      <c r="B38" s="191">
        <f>B31+B30</f>
        <v>556587</v>
      </c>
      <c r="C38" s="191">
        <f>C31+C30</f>
        <v>548414</v>
      </c>
      <c r="D38" s="188">
        <f t="shared" si="0"/>
        <v>101.49</v>
      </c>
    </row>
    <row r="39" spans="1:4">
      <c r="A39" s="113"/>
      <c r="B39" s="109"/>
    </row>
    <row r="40" spans="1:4">
      <c r="A40" s="113"/>
      <c r="B40" s="109"/>
    </row>
    <row r="41" spans="1:4">
      <c r="A41" s="113"/>
      <c r="B41" s="109"/>
    </row>
    <row r="42" spans="1:4">
      <c r="A42" s="109"/>
      <c r="B42" s="109"/>
    </row>
    <row r="43" spans="1:4">
      <c r="A43" s="109"/>
      <c r="B43" s="109"/>
    </row>
    <row r="44" spans="1:4">
      <c r="A44" s="109"/>
      <c r="B44" s="109"/>
    </row>
  </sheetData>
  <mergeCells count="1">
    <mergeCell ref="A2:D2"/>
  </mergeCells>
  <phoneticPr fontId="87" type="noConversion"/>
  <pageMargins left="0.70866141732283472" right="0.70866141732283472" top="0.74803149606299213" bottom="0.74803149606299213" header="0.31496062992125984" footer="0.31496062992125984"/>
  <pageSetup paperSize="9" scale="95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367"/>
  <sheetViews>
    <sheetView showZeros="0" tabSelected="1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361" sqref="A361:B361"/>
    </sheetView>
  </sheetViews>
  <sheetFormatPr defaultRowHeight="14.25"/>
  <cols>
    <col min="1" max="1" width="10" style="110" customWidth="1"/>
    <col min="2" max="2" width="39.875" style="110" customWidth="1"/>
    <col min="3" max="4" width="12.125" style="110" customWidth="1"/>
    <col min="5" max="5" width="15.125" style="110" customWidth="1"/>
    <col min="6" max="16384" width="9" style="110"/>
  </cols>
  <sheetData>
    <row r="1" spans="1:5" ht="22.5" customHeight="1">
      <c r="A1" s="131" t="s">
        <v>29</v>
      </c>
      <c r="B1" s="109"/>
      <c r="C1" s="109"/>
    </row>
    <row r="2" spans="1:5" ht="30" customHeight="1">
      <c r="A2" s="251" t="s">
        <v>695</v>
      </c>
      <c r="B2" s="251"/>
      <c r="C2" s="251"/>
      <c r="D2" s="251"/>
      <c r="E2" s="251"/>
    </row>
    <row r="3" spans="1:5">
      <c r="A3" s="111"/>
      <c r="B3" s="111"/>
      <c r="C3" s="109"/>
      <c r="E3" s="112" t="s">
        <v>19</v>
      </c>
    </row>
    <row r="4" spans="1:5" ht="31.5" customHeight="1">
      <c r="A4" s="254" t="s">
        <v>311</v>
      </c>
      <c r="B4" s="255"/>
      <c r="C4" s="256" t="s">
        <v>18</v>
      </c>
      <c r="D4" s="258" t="s">
        <v>314</v>
      </c>
      <c r="E4" s="258" t="s">
        <v>315</v>
      </c>
    </row>
    <row r="5" spans="1:5" ht="33.75" customHeight="1">
      <c r="A5" s="122" t="s">
        <v>312</v>
      </c>
      <c r="B5" s="123" t="s">
        <v>313</v>
      </c>
      <c r="C5" s="257"/>
      <c r="D5" s="259"/>
      <c r="E5" s="259"/>
    </row>
    <row r="6" spans="1:5" ht="16.5" customHeight="1">
      <c r="A6" s="193" t="s">
        <v>385</v>
      </c>
      <c r="B6" s="194" t="s">
        <v>386</v>
      </c>
      <c r="C6" s="126">
        <f>SUM(C7:C86)</f>
        <v>49333</v>
      </c>
      <c r="D6" s="126">
        <f>SUM(D7:D86)</f>
        <v>45845</v>
      </c>
      <c r="E6" s="127">
        <f t="shared" ref="E6:E73" si="0">IF(D6=0,0,C6*100/D6)</f>
        <v>107.61</v>
      </c>
    </row>
    <row r="7" spans="1:5" ht="16.5" customHeight="1">
      <c r="A7" s="124">
        <v>2010101</v>
      </c>
      <c r="B7" s="124" t="s">
        <v>387</v>
      </c>
      <c r="C7" s="125">
        <v>1709</v>
      </c>
      <c r="D7" s="125">
        <v>1611</v>
      </c>
      <c r="E7" s="127">
        <f t="shared" si="0"/>
        <v>106.08</v>
      </c>
    </row>
    <row r="8" spans="1:5" ht="16.5" customHeight="1">
      <c r="A8" s="124">
        <v>2010103</v>
      </c>
      <c r="B8" s="124" t="s">
        <v>388</v>
      </c>
      <c r="C8" s="125">
        <v>60</v>
      </c>
      <c r="D8" s="125">
        <v>48</v>
      </c>
      <c r="E8" s="127">
        <f t="shared" si="0"/>
        <v>125</v>
      </c>
    </row>
    <row r="9" spans="1:5" ht="16.5" customHeight="1">
      <c r="A9" s="124">
        <v>2010150</v>
      </c>
      <c r="B9" s="124" t="s">
        <v>389</v>
      </c>
      <c r="C9" s="125">
        <v>26</v>
      </c>
      <c r="D9" s="125">
        <v>25</v>
      </c>
      <c r="E9" s="127">
        <f t="shared" si="0"/>
        <v>104</v>
      </c>
    </row>
    <row r="10" spans="1:5" ht="16.5" customHeight="1">
      <c r="A10" s="124">
        <v>2010201</v>
      </c>
      <c r="B10" s="124" t="s">
        <v>387</v>
      </c>
      <c r="C10" s="125">
        <v>1495</v>
      </c>
      <c r="D10" s="125">
        <v>1339</v>
      </c>
      <c r="E10" s="127">
        <f t="shared" si="0"/>
        <v>111.65</v>
      </c>
    </row>
    <row r="11" spans="1:5" ht="16.5" customHeight="1">
      <c r="A11" s="124">
        <v>2010203</v>
      </c>
      <c r="B11" s="124" t="s">
        <v>388</v>
      </c>
      <c r="C11" s="125">
        <v>32</v>
      </c>
      <c r="D11" s="125"/>
      <c r="E11" s="127"/>
    </row>
    <row r="12" spans="1:5" ht="16.5" customHeight="1">
      <c r="A12" s="124">
        <v>2010250</v>
      </c>
      <c r="B12" s="124" t="s">
        <v>389</v>
      </c>
      <c r="C12" s="125">
        <v>65</v>
      </c>
      <c r="D12" s="125">
        <v>92</v>
      </c>
      <c r="E12" s="127">
        <f t="shared" si="0"/>
        <v>70.650000000000006</v>
      </c>
    </row>
    <row r="13" spans="1:5" ht="16.5" customHeight="1">
      <c r="A13" s="124">
        <v>2010299</v>
      </c>
      <c r="B13" s="124" t="s">
        <v>611</v>
      </c>
      <c r="C13" s="125"/>
      <c r="D13" s="125">
        <v>38</v>
      </c>
      <c r="E13" s="127">
        <f t="shared" si="0"/>
        <v>0</v>
      </c>
    </row>
    <row r="14" spans="1:5" ht="16.5" customHeight="1">
      <c r="A14" s="124">
        <v>2010301</v>
      </c>
      <c r="B14" s="124" t="s">
        <v>387</v>
      </c>
      <c r="C14" s="125">
        <v>3853</v>
      </c>
      <c r="D14" s="125">
        <v>3473</v>
      </c>
      <c r="E14" s="127">
        <f t="shared" si="0"/>
        <v>110.94</v>
      </c>
    </row>
    <row r="15" spans="1:5" ht="16.5" customHeight="1">
      <c r="A15" s="124">
        <v>2010303</v>
      </c>
      <c r="B15" s="124" t="s">
        <v>388</v>
      </c>
      <c r="C15" s="125">
        <v>1081</v>
      </c>
      <c r="D15" s="125">
        <v>709</v>
      </c>
      <c r="E15" s="127">
        <f t="shared" si="0"/>
        <v>152.47</v>
      </c>
    </row>
    <row r="16" spans="1:5" ht="16.5" customHeight="1">
      <c r="A16" s="124">
        <v>2010308</v>
      </c>
      <c r="B16" s="124" t="s">
        <v>390</v>
      </c>
      <c r="C16" s="125">
        <v>254</v>
      </c>
      <c r="D16" s="125">
        <v>301</v>
      </c>
      <c r="E16" s="127">
        <f t="shared" si="0"/>
        <v>84.39</v>
      </c>
    </row>
    <row r="17" spans="1:5" ht="16.5" customHeight="1">
      <c r="A17" s="124">
        <v>2010350</v>
      </c>
      <c r="B17" s="124" t="s">
        <v>389</v>
      </c>
      <c r="C17" s="125">
        <v>125</v>
      </c>
      <c r="D17" s="125"/>
      <c r="E17" s="127"/>
    </row>
    <row r="18" spans="1:5" ht="16.5" customHeight="1">
      <c r="A18" s="124">
        <v>2010399</v>
      </c>
      <c r="B18" s="124" t="s">
        <v>391</v>
      </c>
      <c r="C18" s="125">
        <v>1842</v>
      </c>
      <c r="D18" s="125">
        <v>650</v>
      </c>
      <c r="E18" s="127">
        <f t="shared" si="0"/>
        <v>283.38</v>
      </c>
    </row>
    <row r="19" spans="1:5" ht="16.5" customHeight="1">
      <c r="A19" s="124">
        <v>2010401</v>
      </c>
      <c r="B19" s="124" t="s">
        <v>387</v>
      </c>
      <c r="C19" s="125">
        <v>1248</v>
      </c>
      <c r="D19" s="125">
        <v>1318</v>
      </c>
      <c r="E19" s="127">
        <f t="shared" si="0"/>
        <v>94.69</v>
      </c>
    </row>
    <row r="20" spans="1:5" ht="16.5" customHeight="1">
      <c r="A20" s="124">
        <v>2010408</v>
      </c>
      <c r="B20" s="124" t="s">
        <v>392</v>
      </c>
      <c r="C20" s="125">
        <v>73</v>
      </c>
      <c r="D20" s="125">
        <v>89</v>
      </c>
      <c r="E20" s="127">
        <f t="shared" si="0"/>
        <v>82.02</v>
      </c>
    </row>
    <row r="21" spans="1:5" ht="16.5" customHeight="1">
      <c r="A21" s="124">
        <v>2010450</v>
      </c>
      <c r="B21" s="124" t="s">
        <v>389</v>
      </c>
      <c r="C21" s="125">
        <v>113</v>
      </c>
      <c r="D21" s="125">
        <v>116</v>
      </c>
      <c r="E21" s="127">
        <f t="shared" si="0"/>
        <v>97.41</v>
      </c>
    </row>
    <row r="22" spans="1:5" ht="16.5" customHeight="1">
      <c r="A22" s="124">
        <v>2010499</v>
      </c>
      <c r="B22" s="124" t="s">
        <v>393</v>
      </c>
      <c r="C22" s="125">
        <v>2400</v>
      </c>
      <c r="D22" s="125">
        <v>21</v>
      </c>
      <c r="E22" s="127">
        <f t="shared" si="0"/>
        <v>11428.57</v>
      </c>
    </row>
    <row r="23" spans="1:5" ht="16.5" customHeight="1">
      <c r="A23" s="124">
        <v>2010501</v>
      </c>
      <c r="B23" s="124" t="s">
        <v>387</v>
      </c>
      <c r="C23" s="125">
        <v>605</v>
      </c>
      <c r="D23" s="125">
        <v>687</v>
      </c>
      <c r="E23" s="127">
        <f t="shared" si="0"/>
        <v>88.06</v>
      </c>
    </row>
    <row r="24" spans="1:5" ht="16.5" customHeight="1">
      <c r="A24" s="124">
        <v>2010503</v>
      </c>
      <c r="B24" s="124" t="s">
        <v>388</v>
      </c>
      <c r="C24" s="125"/>
      <c r="D24" s="125">
        <v>0.21</v>
      </c>
      <c r="E24" s="127">
        <f t="shared" si="0"/>
        <v>0</v>
      </c>
    </row>
    <row r="25" spans="1:5" ht="16.5" customHeight="1">
      <c r="A25" s="124">
        <v>2010504</v>
      </c>
      <c r="B25" s="124" t="s">
        <v>394</v>
      </c>
      <c r="C25" s="125">
        <v>476</v>
      </c>
      <c r="D25" s="125">
        <v>703</v>
      </c>
      <c r="E25" s="127">
        <f t="shared" si="0"/>
        <v>67.709999999999994</v>
      </c>
    </row>
    <row r="26" spans="1:5" ht="16.5" customHeight="1">
      <c r="A26" s="124">
        <v>2010507</v>
      </c>
      <c r="B26" s="124" t="s">
        <v>395</v>
      </c>
      <c r="C26" s="125"/>
      <c r="D26" s="125">
        <v>20</v>
      </c>
      <c r="E26" s="127">
        <f t="shared" si="0"/>
        <v>0</v>
      </c>
    </row>
    <row r="27" spans="1:5" ht="16.5" customHeight="1">
      <c r="A27" s="124">
        <v>2010601</v>
      </c>
      <c r="B27" s="124" t="s">
        <v>387</v>
      </c>
      <c r="C27" s="125">
        <v>1506</v>
      </c>
      <c r="D27" s="125">
        <v>1493</v>
      </c>
      <c r="E27" s="127">
        <f t="shared" si="0"/>
        <v>100.87</v>
      </c>
    </row>
    <row r="28" spans="1:5" ht="16.5" customHeight="1">
      <c r="A28" s="124">
        <v>2010602</v>
      </c>
      <c r="B28" s="124" t="s">
        <v>396</v>
      </c>
      <c r="C28" s="125">
        <v>348</v>
      </c>
      <c r="D28" s="125">
        <v>277</v>
      </c>
      <c r="E28" s="127">
        <f t="shared" si="0"/>
        <v>125.63</v>
      </c>
    </row>
    <row r="29" spans="1:5" ht="16.5" customHeight="1">
      <c r="A29" s="124">
        <v>2010607</v>
      </c>
      <c r="B29" s="124" t="s">
        <v>397</v>
      </c>
      <c r="C29" s="125">
        <v>60</v>
      </c>
      <c r="D29" s="125">
        <v>110</v>
      </c>
      <c r="E29" s="127">
        <f t="shared" si="0"/>
        <v>54.55</v>
      </c>
    </row>
    <row r="30" spans="1:5" ht="16.5" customHeight="1">
      <c r="A30" s="124">
        <v>2010608</v>
      </c>
      <c r="B30" s="124" t="s">
        <v>612</v>
      </c>
      <c r="C30" s="125">
        <v>320</v>
      </c>
      <c r="D30" s="125">
        <v>400</v>
      </c>
      <c r="E30" s="127">
        <f t="shared" si="0"/>
        <v>80</v>
      </c>
    </row>
    <row r="31" spans="1:5" ht="16.5" customHeight="1">
      <c r="A31" s="124">
        <v>2010650</v>
      </c>
      <c r="B31" s="124" t="s">
        <v>389</v>
      </c>
      <c r="C31" s="125">
        <v>278</v>
      </c>
      <c r="D31" s="125">
        <v>311</v>
      </c>
      <c r="E31" s="127">
        <f t="shared" si="0"/>
        <v>89.39</v>
      </c>
    </row>
    <row r="32" spans="1:5" ht="16.5" customHeight="1">
      <c r="A32" s="124">
        <v>2010699</v>
      </c>
      <c r="B32" s="124" t="s">
        <v>398</v>
      </c>
      <c r="C32" s="125">
        <v>2611</v>
      </c>
      <c r="D32" s="125">
        <v>495</v>
      </c>
      <c r="E32" s="127">
        <f t="shared" si="0"/>
        <v>527.47</v>
      </c>
    </row>
    <row r="33" spans="1:5" ht="16.5" customHeight="1">
      <c r="A33" s="124">
        <v>2010710</v>
      </c>
      <c r="B33" s="124" t="s">
        <v>399</v>
      </c>
      <c r="C33" s="125">
        <v>70</v>
      </c>
      <c r="D33" s="125">
        <v>650</v>
      </c>
      <c r="E33" s="127">
        <f t="shared" si="0"/>
        <v>10.77</v>
      </c>
    </row>
    <row r="34" spans="1:5" ht="16.5" customHeight="1">
      <c r="A34" s="124">
        <v>2010799</v>
      </c>
      <c r="B34" s="124" t="s">
        <v>400</v>
      </c>
      <c r="C34" s="125"/>
      <c r="D34" s="125">
        <v>490</v>
      </c>
      <c r="E34" s="127">
        <f t="shared" si="0"/>
        <v>0</v>
      </c>
    </row>
    <row r="35" spans="1:5" ht="16.5" customHeight="1">
      <c r="A35" s="124">
        <v>2010801</v>
      </c>
      <c r="B35" s="124" t="s">
        <v>387</v>
      </c>
      <c r="C35" s="125">
        <v>576</v>
      </c>
      <c r="D35" s="125">
        <v>624</v>
      </c>
      <c r="E35" s="127">
        <f t="shared" si="0"/>
        <v>92.31</v>
      </c>
    </row>
    <row r="36" spans="1:5" ht="16.5" customHeight="1">
      <c r="A36" s="124">
        <v>2010804</v>
      </c>
      <c r="B36" s="124" t="s">
        <v>401</v>
      </c>
      <c r="C36" s="125">
        <v>117</v>
      </c>
      <c r="D36" s="125"/>
      <c r="E36" s="127">
        <f t="shared" si="0"/>
        <v>0</v>
      </c>
    </row>
    <row r="37" spans="1:5" ht="16.5" customHeight="1">
      <c r="A37" s="124">
        <v>2010805</v>
      </c>
      <c r="B37" s="124" t="s">
        <v>613</v>
      </c>
      <c r="C37" s="125">
        <v>20</v>
      </c>
      <c r="D37" s="125">
        <v>18.37</v>
      </c>
      <c r="E37" s="127">
        <f t="shared" si="0"/>
        <v>108.87</v>
      </c>
    </row>
    <row r="38" spans="1:5" ht="16.5" customHeight="1">
      <c r="A38" s="124">
        <v>2010806</v>
      </c>
      <c r="B38" s="124" t="s">
        <v>397</v>
      </c>
      <c r="C38" s="125"/>
      <c r="D38" s="125">
        <v>1</v>
      </c>
      <c r="E38" s="127">
        <f t="shared" si="0"/>
        <v>0</v>
      </c>
    </row>
    <row r="39" spans="1:5" ht="16.5" customHeight="1">
      <c r="A39" s="124">
        <v>2010850</v>
      </c>
      <c r="B39" s="124" t="s">
        <v>389</v>
      </c>
      <c r="C39" s="125">
        <v>130</v>
      </c>
      <c r="D39" s="125">
        <v>121</v>
      </c>
      <c r="E39" s="127">
        <f t="shared" si="0"/>
        <v>107.44</v>
      </c>
    </row>
    <row r="40" spans="1:5" ht="16.5" customHeight="1">
      <c r="A40" s="124">
        <v>2010999</v>
      </c>
      <c r="B40" s="124" t="s">
        <v>402</v>
      </c>
      <c r="C40" s="125">
        <v>74</v>
      </c>
      <c r="D40" s="125">
        <v>93</v>
      </c>
      <c r="E40" s="127">
        <f t="shared" si="0"/>
        <v>79.569999999999993</v>
      </c>
    </row>
    <row r="41" spans="1:5" ht="16.5" customHeight="1">
      <c r="A41" s="124">
        <v>2011101</v>
      </c>
      <c r="B41" s="124" t="s">
        <v>387</v>
      </c>
      <c r="C41" s="125">
        <v>2082</v>
      </c>
      <c r="D41" s="125">
        <v>2035</v>
      </c>
      <c r="E41" s="127">
        <f t="shared" si="0"/>
        <v>102.31</v>
      </c>
    </row>
    <row r="42" spans="1:5" ht="16.5" customHeight="1">
      <c r="A42" s="124">
        <v>2011104</v>
      </c>
      <c r="B42" s="124" t="s">
        <v>403</v>
      </c>
      <c r="C42" s="125"/>
      <c r="D42" s="125">
        <v>790</v>
      </c>
      <c r="E42" s="127">
        <f t="shared" si="0"/>
        <v>0</v>
      </c>
    </row>
    <row r="43" spans="1:5" ht="16.5" customHeight="1">
      <c r="A43" s="124">
        <v>2011199</v>
      </c>
      <c r="B43" s="124" t="s">
        <v>404</v>
      </c>
      <c r="C43" s="125">
        <v>1190</v>
      </c>
      <c r="D43" s="125">
        <v>400</v>
      </c>
      <c r="E43" s="127">
        <f t="shared" si="0"/>
        <v>297.5</v>
      </c>
    </row>
    <row r="44" spans="1:5" ht="16.5" customHeight="1">
      <c r="A44" s="124">
        <v>2011301</v>
      </c>
      <c r="B44" s="124" t="s">
        <v>387</v>
      </c>
      <c r="C44" s="125">
        <v>1380</v>
      </c>
      <c r="D44" s="125">
        <v>1221</v>
      </c>
      <c r="E44" s="127">
        <f t="shared" si="0"/>
        <v>113.02</v>
      </c>
    </row>
    <row r="45" spans="1:5" ht="16.5" customHeight="1">
      <c r="A45" s="124">
        <v>2011308</v>
      </c>
      <c r="B45" s="124" t="s">
        <v>696</v>
      </c>
      <c r="C45" s="125">
        <v>1100</v>
      </c>
      <c r="D45" s="125"/>
      <c r="E45" s="127"/>
    </row>
    <row r="46" spans="1:5" ht="16.5" customHeight="1">
      <c r="A46" s="124">
        <v>2011350</v>
      </c>
      <c r="B46" s="124" t="s">
        <v>389</v>
      </c>
      <c r="C46" s="125">
        <v>10</v>
      </c>
      <c r="D46" s="125">
        <v>12</v>
      </c>
      <c r="E46" s="127">
        <f t="shared" si="0"/>
        <v>83.33</v>
      </c>
    </row>
    <row r="47" spans="1:5" ht="16.5" customHeight="1">
      <c r="A47" s="124">
        <v>2011399</v>
      </c>
      <c r="B47" s="124" t="s">
        <v>405</v>
      </c>
      <c r="C47" s="125">
        <v>299</v>
      </c>
      <c r="D47" s="125">
        <v>312</v>
      </c>
      <c r="E47" s="127">
        <f t="shared" si="0"/>
        <v>95.83</v>
      </c>
    </row>
    <row r="48" spans="1:5" ht="16.5" customHeight="1">
      <c r="A48" s="124">
        <v>2012301</v>
      </c>
      <c r="B48" s="124" t="s">
        <v>387</v>
      </c>
      <c r="C48" s="125">
        <v>227</v>
      </c>
      <c r="D48" s="125">
        <v>203</v>
      </c>
      <c r="E48" s="127">
        <f t="shared" si="0"/>
        <v>111.82</v>
      </c>
    </row>
    <row r="49" spans="1:5" ht="16.5" customHeight="1">
      <c r="A49" s="124">
        <v>2012304</v>
      </c>
      <c r="B49" s="124" t="s">
        <v>406</v>
      </c>
      <c r="C49" s="125"/>
      <c r="D49" s="125">
        <v>4</v>
      </c>
      <c r="E49" s="127">
        <f t="shared" si="0"/>
        <v>0</v>
      </c>
    </row>
    <row r="50" spans="1:5" ht="16.5" customHeight="1">
      <c r="A50" s="124">
        <v>2012399</v>
      </c>
      <c r="B50" s="124" t="s">
        <v>407</v>
      </c>
      <c r="C50" s="125">
        <v>186</v>
      </c>
      <c r="D50" s="125">
        <v>100</v>
      </c>
      <c r="E50" s="127">
        <f t="shared" si="0"/>
        <v>186</v>
      </c>
    </row>
    <row r="51" spans="1:5" ht="16.5" customHeight="1">
      <c r="A51" s="124">
        <v>2012503</v>
      </c>
      <c r="B51" s="124" t="s">
        <v>388</v>
      </c>
      <c r="C51" s="125">
        <v>35</v>
      </c>
      <c r="D51" s="125">
        <v>43</v>
      </c>
      <c r="E51" s="127">
        <f t="shared" si="0"/>
        <v>81.400000000000006</v>
      </c>
    </row>
    <row r="52" spans="1:5" ht="16.5" customHeight="1">
      <c r="A52" s="124">
        <v>2012505</v>
      </c>
      <c r="B52" s="124" t="s">
        <v>408</v>
      </c>
      <c r="C52" s="125">
        <v>35</v>
      </c>
      <c r="D52" s="125"/>
      <c r="E52" s="127">
        <f t="shared" si="0"/>
        <v>0</v>
      </c>
    </row>
    <row r="53" spans="1:5" ht="16.5" customHeight="1">
      <c r="A53" s="124">
        <v>2012601</v>
      </c>
      <c r="B53" s="124" t="s">
        <v>387</v>
      </c>
      <c r="C53" s="125">
        <v>351</v>
      </c>
      <c r="D53" s="125">
        <v>331</v>
      </c>
      <c r="E53" s="127">
        <f t="shared" si="0"/>
        <v>106.04</v>
      </c>
    </row>
    <row r="54" spans="1:5" ht="16.5" customHeight="1">
      <c r="A54" s="124">
        <v>2012604</v>
      </c>
      <c r="B54" s="124" t="s">
        <v>697</v>
      </c>
      <c r="C54" s="125">
        <v>2012</v>
      </c>
      <c r="D54" s="125"/>
      <c r="E54" s="127"/>
    </row>
    <row r="55" spans="1:5" ht="16.5" customHeight="1">
      <c r="A55" s="124">
        <v>2012699</v>
      </c>
      <c r="B55" s="124" t="s">
        <v>409</v>
      </c>
      <c r="C55" s="125"/>
      <c r="D55" s="125">
        <v>3015</v>
      </c>
      <c r="E55" s="127">
        <f t="shared" si="0"/>
        <v>0</v>
      </c>
    </row>
    <row r="56" spans="1:5" ht="16.5" customHeight="1">
      <c r="A56" s="124">
        <v>2012801</v>
      </c>
      <c r="B56" s="124" t="s">
        <v>387</v>
      </c>
      <c r="C56" s="125">
        <v>516</v>
      </c>
      <c r="D56" s="125">
        <v>611</v>
      </c>
      <c r="E56" s="127">
        <f t="shared" si="0"/>
        <v>84.45</v>
      </c>
    </row>
    <row r="57" spans="1:5" ht="16.5" customHeight="1">
      <c r="A57" s="124">
        <v>2012804</v>
      </c>
      <c r="B57" s="124" t="s">
        <v>410</v>
      </c>
      <c r="C57" s="125"/>
      <c r="D57" s="125">
        <v>4</v>
      </c>
      <c r="E57" s="127">
        <f t="shared" si="0"/>
        <v>0</v>
      </c>
    </row>
    <row r="58" spans="1:5" ht="16.5" customHeight="1">
      <c r="A58" s="124">
        <v>2012899</v>
      </c>
      <c r="B58" s="124" t="s">
        <v>411</v>
      </c>
      <c r="C58" s="125">
        <v>109</v>
      </c>
      <c r="D58" s="125">
        <v>35</v>
      </c>
      <c r="E58" s="127">
        <f t="shared" si="0"/>
        <v>311.43</v>
      </c>
    </row>
    <row r="59" spans="1:5" ht="16.5" customHeight="1">
      <c r="A59" s="124">
        <v>2012901</v>
      </c>
      <c r="B59" s="124" t="s">
        <v>387</v>
      </c>
      <c r="C59" s="125">
        <v>1747</v>
      </c>
      <c r="D59" s="125">
        <v>1628</v>
      </c>
      <c r="E59" s="127">
        <f t="shared" si="0"/>
        <v>107.31</v>
      </c>
    </row>
    <row r="60" spans="1:5" ht="16.5" customHeight="1">
      <c r="A60" s="124">
        <v>2012902</v>
      </c>
      <c r="B60" s="124" t="s">
        <v>396</v>
      </c>
      <c r="C60" s="125">
        <v>56</v>
      </c>
      <c r="D60" s="125">
        <v>35</v>
      </c>
      <c r="E60" s="127">
        <f t="shared" si="0"/>
        <v>160</v>
      </c>
    </row>
    <row r="61" spans="1:5" ht="16.5" customHeight="1">
      <c r="A61" s="124">
        <v>2012950</v>
      </c>
      <c r="B61" s="124" t="s">
        <v>389</v>
      </c>
      <c r="C61" s="125">
        <v>73</v>
      </c>
      <c r="D61" s="125">
        <v>71</v>
      </c>
      <c r="E61" s="127">
        <f t="shared" si="0"/>
        <v>102.82</v>
      </c>
    </row>
    <row r="62" spans="1:5" ht="16.5" customHeight="1">
      <c r="A62" s="124">
        <v>2012999</v>
      </c>
      <c r="B62" s="124" t="s">
        <v>412</v>
      </c>
      <c r="C62" s="125">
        <v>50</v>
      </c>
      <c r="D62" s="125">
        <v>36</v>
      </c>
      <c r="E62" s="127">
        <f t="shared" si="0"/>
        <v>138.88999999999999</v>
      </c>
    </row>
    <row r="63" spans="1:5" ht="16.5" customHeight="1">
      <c r="A63" s="124">
        <v>2013101</v>
      </c>
      <c r="B63" s="124" t="s">
        <v>387</v>
      </c>
      <c r="C63" s="125">
        <v>3794</v>
      </c>
      <c r="D63" s="125">
        <v>3880</v>
      </c>
      <c r="E63" s="127">
        <f t="shared" si="0"/>
        <v>97.78</v>
      </c>
    </row>
    <row r="64" spans="1:5" ht="16.5" customHeight="1">
      <c r="A64" s="124">
        <v>2013103</v>
      </c>
      <c r="B64" s="124" t="s">
        <v>388</v>
      </c>
      <c r="C64" s="125">
        <v>27</v>
      </c>
      <c r="D64" s="125">
        <v>32</v>
      </c>
      <c r="E64" s="127">
        <f t="shared" si="0"/>
        <v>84.38</v>
      </c>
    </row>
    <row r="65" spans="1:5" ht="16.5" customHeight="1">
      <c r="A65" s="124">
        <v>2013105</v>
      </c>
      <c r="B65" s="124" t="s">
        <v>698</v>
      </c>
      <c r="C65" s="125">
        <v>175</v>
      </c>
      <c r="D65" s="125"/>
      <c r="E65" s="127"/>
    </row>
    <row r="66" spans="1:5" ht="16.5" customHeight="1">
      <c r="A66" s="124">
        <v>2013150</v>
      </c>
      <c r="B66" s="124" t="s">
        <v>389</v>
      </c>
      <c r="C66" s="125">
        <v>730</v>
      </c>
      <c r="D66" s="125">
        <v>704</v>
      </c>
      <c r="E66" s="127">
        <f t="shared" si="0"/>
        <v>103.69</v>
      </c>
    </row>
    <row r="67" spans="1:5" ht="16.5" customHeight="1">
      <c r="A67" s="124">
        <v>2013199</v>
      </c>
      <c r="B67" s="124" t="s">
        <v>413</v>
      </c>
      <c r="C67" s="125"/>
      <c r="D67" s="125">
        <v>157</v>
      </c>
      <c r="E67" s="127">
        <f t="shared" si="0"/>
        <v>0</v>
      </c>
    </row>
    <row r="68" spans="1:5" ht="16.5" customHeight="1">
      <c r="A68" s="124">
        <v>2013201</v>
      </c>
      <c r="B68" s="124" t="s">
        <v>387</v>
      </c>
      <c r="C68" s="125">
        <v>1341</v>
      </c>
      <c r="D68" s="125">
        <v>1269</v>
      </c>
      <c r="E68" s="127">
        <f t="shared" si="0"/>
        <v>105.67</v>
      </c>
    </row>
    <row r="69" spans="1:5" ht="16.5" customHeight="1">
      <c r="A69" s="124">
        <v>2013204</v>
      </c>
      <c r="B69" s="124" t="s">
        <v>614</v>
      </c>
      <c r="C69" s="125">
        <v>80</v>
      </c>
      <c r="D69" s="125">
        <v>100</v>
      </c>
      <c r="E69" s="127">
        <f t="shared" si="0"/>
        <v>80</v>
      </c>
    </row>
    <row r="70" spans="1:5" ht="16.5" customHeight="1">
      <c r="A70" s="124">
        <v>2013250</v>
      </c>
      <c r="B70" s="124" t="s">
        <v>389</v>
      </c>
      <c r="C70" s="125">
        <v>15</v>
      </c>
      <c r="D70" s="125">
        <v>14</v>
      </c>
      <c r="E70" s="127">
        <f t="shared" si="0"/>
        <v>107.14</v>
      </c>
    </row>
    <row r="71" spans="1:5" ht="16.5" customHeight="1">
      <c r="A71" s="124">
        <v>2013299</v>
      </c>
      <c r="B71" s="124" t="s">
        <v>414</v>
      </c>
      <c r="C71" s="125">
        <v>1246</v>
      </c>
      <c r="D71" s="125">
        <v>58</v>
      </c>
      <c r="E71" s="127">
        <f t="shared" si="0"/>
        <v>2148.2800000000002</v>
      </c>
    </row>
    <row r="72" spans="1:5" ht="16.5" customHeight="1">
      <c r="A72" s="124">
        <v>2013301</v>
      </c>
      <c r="B72" s="124" t="s">
        <v>387</v>
      </c>
      <c r="C72" s="125">
        <v>483</v>
      </c>
      <c r="D72" s="125">
        <v>489</v>
      </c>
      <c r="E72" s="127">
        <f t="shared" si="0"/>
        <v>98.77</v>
      </c>
    </row>
    <row r="73" spans="1:5" ht="16.5" customHeight="1">
      <c r="A73" s="124">
        <v>2013399</v>
      </c>
      <c r="B73" s="124" t="s">
        <v>615</v>
      </c>
      <c r="C73" s="125"/>
      <c r="D73" s="125">
        <v>10</v>
      </c>
      <c r="E73" s="127">
        <f t="shared" si="0"/>
        <v>0</v>
      </c>
    </row>
    <row r="74" spans="1:5" ht="18" customHeight="1">
      <c r="A74" s="124">
        <v>2013401</v>
      </c>
      <c r="B74" s="124" t="s">
        <v>387</v>
      </c>
      <c r="C74" s="125">
        <v>528</v>
      </c>
      <c r="D74" s="125">
        <v>521</v>
      </c>
      <c r="E74" s="127">
        <f t="shared" ref="E74:E137" si="1">IF(D74=0,0,C74*100/D74)</f>
        <v>101.34</v>
      </c>
    </row>
    <row r="75" spans="1:5" ht="18" customHeight="1">
      <c r="A75" s="124">
        <v>2013405</v>
      </c>
      <c r="B75" s="124" t="s">
        <v>699</v>
      </c>
      <c r="C75" s="125">
        <v>33</v>
      </c>
      <c r="D75" s="125"/>
      <c r="E75" s="127"/>
    </row>
    <row r="76" spans="1:5" ht="16.5" customHeight="1">
      <c r="A76" s="124">
        <v>2013601</v>
      </c>
      <c r="B76" s="124" t="s">
        <v>387</v>
      </c>
      <c r="C76" s="125">
        <v>328</v>
      </c>
      <c r="D76" s="125">
        <v>342</v>
      </c>
      <c r="E76" s="127">
        <f t="shared" si="1"/>
        <v>95.91</v>
      </c>
    </row>
    <row r="77" spans="1:5" ht="16.5" customHeight="1">
      <c r="A77" s="124">
        <v>2013699</v>
      </c>
      <c r="B77" s="124" t="s">
        <v>415</v>
      </c>
      <c r="C77" s="125">
        <v>242</v>
      </c>
      <c r="D77" s="125">
        <v>777</v>
      </c>
      <c r="E77" s="127">
        <f t="shared" si="1"/>
        <v>31.15</v>
      </c>
    </row>
    <row r="78" spans="1:5" ht="16.5" customHeight="1">
      <c r="A78" s="124">
        <v>2013701</v>
      </c>
      <c r="B78" s="124" t="s">
        <v>387</v>
      </c>
      <c r="C78" s="125">
        <v>283</v>
      </c>
      <c r="D78" s="192">
        <v>254</v>
      </c>
      <c r="E78" s="127">
        <f t="shared" si="1"/>
        <v>111.42</v>
      </c>
    </row>
    <row r="79" spans="1:5" ht="16.5" customHeight="1">
      <c r="A79" s="124">
        <v>2013704</v>
      </c>
      <c r="B79" s="124" t="s">
        <v>607</v>
      </c>
      <c r="C79" s="125">
        <v>30</v>
      </c>
      <c r="D79" s="192">
        <v>50</v>
      </c>
      <c r="E79" s="127">
        <f t="shared" si="1"/>
        <v>60</v>
      </c>
    </row>
    <row r="80" spans="1:5" ht="16.5" customHeight="1">
      <c r="A80" s="124">
        <v>2013801</v>
      </c>
      <c r="B80" s="124" t="s">
        <v>387</v>
      </c>
      <c r="C80" s="125">
        <v>2021</v>
      </c>
      <c r="D80" s="125">
        <v>2044</v>
      </c>
      <c r="E80" s="127">
        <f t="shared" si="1"/>
        <v>98.87</v>
      </c>
    </row>
    <row r="81" spans="1:5" ht="16.5" customHeight="1">
      <c r="A81" s="124">
        <v>2013802</v>
      </c>
      <c r="B81" s="124" t="s">
        <v>396</v>
      </c>
      <c r="C81" s="125"/>
      <c r="D81" s="125">
        <v>664</v>
      </c>
      <c r="E81" s="127">
        <f t="shared" si="1"/>
        <v>0</v>
      </c>
    </row>
    <row r="82" spans="1:5" ht="16.5" customHeight="1">
      <c r="A82" s="124">
        <v>2013804</v>
      </c>
      <c r="B82" s="124" t="s">
        <v>416</v>
      </c>
      <c r="C82" s="125">
        <v>110</v>
      </c>
      <c r="D82" s="125">
        <v>183</v>
      </c>
      <c r="E82" s="127">
        <f t="shared" si="1"/>
        <v>60.11</v>
      </c>
    </row>
    <row r="83" spans="1:5" ht="16.5" customHeight="1">
      <c r="A83" s="124">
        <v>2013812</v>
      </c>
      <c r="B83" s="124" t="s">
        <v>417</v>
      </c>
      <c r="C83" s="125"/>
      <c r="D83" s="125">
        <v>70</v>
      </c>
      <c r="E83" s="127">
        <f t="shared" si="1"/>
        <v>0</v>
      </c>
    </row>
    <row r="84" spans="1:5" ht="16.5" customHeight="1">
      <c r="A84" s="124">
        <v>2013816</v>
      </c>
      <c r="B84" s="124" t="s">
        <v>418</v>
      </c>
      <c r="C84" s="125">
        <v>310</v>
      </c>
      <c r="D84" s="125"/>
      <c r="E84" s="127">
        <f t="shared" si="1"/>
        <v>0</v>
      </c>
    </row>
    <row r="85" spans="1:5" ht="16.5" customHeight="1">
      <c r="A85" s="124">
        <v>2013850</v>
      </c>
      <c r="B85" s="124" t="s">
        <v>389</v>
      </c>
      <c r="C85" s="125">
        <v>1614</v>
      </c>
      <c r="D85" s="125">
        <v>1759</v>
      </c>
      <c r="E85" s="127">
        <f t="shared" si="1"/>
        <v>91.76</v>
      </c>
    </row>
    <row r="86" spans="1:5" ht="16.5" customHeight="1">
      <c r="A86" s="124">
        <v>2019999</v>
      </c>
      <c r="B86" s="124" t="s">
        <v>419</v>
      </c>
      <c r="C86" s="125">
        <v>2918</v>
      </c>
      <c r="D86" s="125">
        <v>5258</v>
      </c>
      <c r="E86" s="127">
        <f t="shared" si="1"/>
        <v>55.5</v>
      </c>
    </row>
    <row r="87" spans="1:5" ht="16.5" customHeight="1">
      <c r="A87" s="193" t="s">
        <v>851</v>
      </c>
      <c r="B87" s="194" t="s">
        <v>420</v>
      </c>
      <c r="C87" s="126">
        <f>SUM(C88:C96)</f>
        <v>32305</v>
      </c>
      <c r="D87" s="126">
        <f>SUM(D88:D96)</f>
        <v>30739</v>
      </c>
      <c r="E87" s="127">
        <f t="shared" si="1"/>
        <v>105.09</v>
      </c>
    </row>
    <row r="88" spans="1:5" ht="16.5" customHeight="1">
      <c r="A88" s="124">
        <v>2040201</v>
      </c>
      <c r="B88" s="124" t="s">
        <v>608</v>
      </c>
      <c r="C88" s="125">
        <v>26613</v>
      </c>
      <c r="D88" s="125">
        <v>22926</v>
      </c>
      <c r="E88" s="127">
        <f t="shared" si="1"/>
        <v>116.08</v>
      </c>
    </row>
    <row r="89" spans="1:5" ht="16.5" customHeight="1">
      <c r="A89" s="124">
        <v>2040202</v>
      </c>
      <c r="B89" s="124" t="s">
        <v>396</v>
      </c>
      <c r="C89" s="125"/>
      <c r="D89" s="125">
        <v>130</v>
      </c>
      <c r="E89" s="127">
        <f t="shared" si="1"/>
        <v>0</v>
      </c>
    </row>
    <row r="90" spans="1:5" ht="16.5" customHeight="1">
      <c r="A90" s="124">
        <v>2040219</v>
      </c>
      <c r="B90" s="124" t="s">
        <v>397</v>
      </c>
      <c r="C90" s="125"/>
      <c r="D90" s="125">
        <v>927</v>
      </c>
      <c r="E90" s="127">
        <f t="shared" si="1"/>
        <v>0</v>
      </c>
    </row>
    <row r="91" spans="1:5" ht="16.5" customHeight="1">
      <c r="A91" s="124">
        <v>2040299</v>
      </c>
      <c r="B91" s="124" t="s">
        <v>421</v>
      </c>
      <c r="C91" s="125">
        <v>2963</v>
      </c>
      <c r="D91" s="125"/>
      <c r="E91" s="127">
        <f t="shared" si="1"/>
        <v>0</v>
      </c>
    </row>
    <row r="92" spans="1:5" ht="16.5" customHeight="1">
      <c r="A92" s="124">
        <v>2040399</v>
      </c>
      <c r="B92" s="124" t="s">
        <v>609</v>
      </c>
      <c r="C92" s="125">
        <v>1040</v>
      </c>
      <c r="D92" s="125">
        <v>50</v>
      </c>
      <c r="E92" s="127">
        <f t="shared" si="1"/>
        <v>2080</v>
      </c>
    </row>
    <row r="93" spans="1:5" ht="16.5" customHeight="1">
      <c r="A93" s="124">
        <v>2040601</v>
      </c>
      <c r="B93" s="124" t="s">
        <v>610</v>
      </c>
      <c r="C93" s="125">
        <v>1158</v>
      </c>
      <c r="D93" s="125">
        <v>1039</v>
      </c>
      <c r="E93" s="127">
        <f t="shared" si="1"/>
        <v>111.45</v>
      </c>
    </row>
    <row r="94" spans="1:5" ht="16.5" customHeight="1">
      <c r="A94" s="124">
        <v>2040699</v>
      </c>
      <c r="B94" s="124" t="s">
        <v>422</v>
      </c>
      <c r="C94" s="125"/>
      <c r="D94" s="125">
        <v>167</v>
      </c>
      <c r="E94" s="127">
        <f t="shared" si="1"/>
        <v>0</v>
      </c>
    </row>
    <row r="95" spans="1:5" ht="16.5" customHeight="1">
      <c r="A95" s="124">
        <v>2049902</v>
      </c>
      <c r="B95" s="124" t="s">
        <v>423</v>
      </c>
      <c r="C95" s="125">
        <v>531</v>
      </c>
      <c r="D95" s="125"/>
      <c r="E95" s="127">
        <f t="shared" si="1"/>
        <v>0</v>
      </c>
    </row>
    <row r="96" spans="1:5" ht="16.5" customHeight="1">
      <c r="A96" s="124">
        <v>2049999</v>
      </c>
      <c r="B96" s="124" t="s">
        <v>424</v>
      </c>
      <c r="C96" s="125"/>
      <c r="D96" s="125">
        <v>5500</v>
      </c>
      <c r="E96" s="127">
        <f t="shared" si="1"/>
        <v>0</v>
      </c>
    </row>
    <row r="97" spans="1:5" ht="16.5" customHeight="1">
      <c r="A97" s="193" t="s">
        <v>852</v>
      </c>
      <c r="B97" s="194" t="s">
        <v>425</v>
      </c>
      <c r="C97" s="125">
        <f>SUM(C98:C116)</f>
        <v>93645</v>
      </c>
      <c r="D97" s="125">
        <f>SUM(D98:D116)</f>
        <v>87019</v>
      </c>
      <c r="E97" s="127">
        <f t="shared" si="1"/>
        <v>107.61</v>
      </c>
    </row>
    <row r="98" spans="1:5" ht="16.5" customHeight="1">
      <c r="A98" s="124">
        <v>2050101</v>
      </c>
      <c r="B98" s="124" t="s">
        <v>387</v>
      </c>
      <c r="C98" s="125">
        <v>1375</v>
      </c>
      <c r="D98" s="125">
        <v>1465</v>
      </c>
      <c r="E98" s="127">
        <f t="shared" si="1"/>
        <v>93.86</v>
      </c>
    </row>
    <row r="99" spans="1:5" ht="16.5" customHeight="1">
      <c r="A99" s="124">
        <v>2050201</v>
      </c>
      <c r="B99" s="124" t="s">
        <v>426</v>
      </c>
      <c r="C99" s="125">
        <v>4091</v>
      </c>
      <c r="D99" s="125">
        <v>3379</v>
      </c>
      <c r="E99" s="127">
        <f t="shared" si="1"/>
        <v>121.07</v>
      </c>
    </row>
    <row r="100" spans="1:5" ht="16.5" customHeight="1">
      <c r="A100" s="124">
        <v>2050202</v>
      </c>
      <c r="B100" s="124" t="s">
        <v>427</v>
      </c>
      <c r="C100" s="125">
        <v>5177</v>
      </c>
      <c r="D100" s="125">
        <v>4382</v>
      </c>
      <c r="E100" s="127">
        <f t="shared" si="1"/>
        <v>118.14</v>
      </c>
    </row>
    <row r="101" spans="1:5" ht="16.5" customHeight="1">
      <c r="A101" s="124">
        <v>2050203</v>
      </c>
      <c r="B101" s="124" t="s">
        <v>428</v>
      </c>
      <c r="C101" s="125">
        <v>3423</v>
      </c>
      <c r="D101" s="125">
        <v>3421</v>
      </c>
      <c r="E101" s="127">
        <f t="shared" si="1"/>
        <v>100.06</v>
      </c>
    </row>
    <row r="102" spans="1:5" ht="16.5" customHeight="1">
      <c r="A102" s="124">
        <v>2050204</v>
      </c>
      <c r="B102" s="124" t="s">
        <v>429</v>
      </c>
      <c r="C102" s="125">
        <v>11296</v>
      </c>
      <c r="D102" s="125">
        <v>10159</v>
      </c>
      <c r="E102" s="127">
        <f t="shared" si="1"/>
        <v>111.19</v>
      </c>
    </row>
    <row r="103" spans="1:5" ht="16.5" customHeight="1">
      <c r="A103" s="124">
        <v>2050205</v>
      </c>
      <c r="B103" s="124" t="s">
        <v>430</v>
      </c>
      <c r="C103" s="125"/>
      <c r="D103" s="125">
        <v>21311</v>
      </c>
      <c r="E103" s="127">
        <f t="shared" si="1"/>
        <v>0</v>
      </c>
    </row>
    <row r="104" spans="1:5" ht="16.5" customHeight="1">
      <c r="A104" s="124">
        <v>2050299</v>
      </c>
      <c r="B104" s="124" t="s">
        <v>431</v>
      </c>
      <c r="C104" s="125">
        <v>4598</v>
      </c>
      <c r="D104" s="125">
        <v>211</v>
      </c>
      <c r="E104" s="127">
        <f t="shared" si="1"/>
        <v>2179.15</v>
      </c>
    </row>
    <row r="105" spans="1:5" ht="16.5" customHeight="1">
      <c r="A105" s="124">
        <v>2050302</v>
      </c>
      <c r="B105" s="124" t="s">
        <v>432</v>
      </c>
      <c r="C105" s="125">
        <v>7589</v>
      </c>
      <c r="D105" s="125">
        <v>4433</v>
      </c>
      <c r="E105" s="127">
        <f t="shared" si="1"/>
        <v>171.19</v>
      </c>
    </row>
    <row r="106" spans="1:5" ht="16.5" customHeight="1">
      <c r="A106" s="124">
        <v>2050303</v>
      </c>
      <c r="B106" s="124" t="s">
        <v>433</v>
      </c>
      <c r="C106" s="125">
        <v>889</v>
      </c>
      <c r="D106" s="125">
        <v>3617</v>
      </c>
      <c r="E106" s="127">
        <f t="shared" si="1"/>
        <v>24.58</v>
      </c>
    </row>
    <row r="107" spans="1:5" ht="16.5" customHeight="1">
      <c r="A107" s="124">
        <v>2050305</v>
      </c>
      <c r="B107" s="124" t="s">
        <v>434</v>
      </c>
      <c r="C107" s="125">
        <v>26651</v>
      </c>
      <c r="D107" s="125">
        <v>7617</v>
      </c>
      <c r="E107" s="127">
        <f t="shared" si="1"/>
        <v>349.89</v>
      </c>
    </row>
    <row r="108" spans="1:5" ht="16.5" customHeight="1">
      <c r="A108" s="124">
        <v>2050402</v>
      </c>
      <c r="B108" s="124" t="s">
        <v>435</v>
      </c>
      <c r="C108" s="125">
        <v>1</v>
      </c>
      <c r="D108" s="125">
        <v>2</v>
      </c>
      <c r="E108" s="127">
        <f t="shared" si="1"/>
        <v>50</v>
      </c>
    </row>
    <row r="109" spans="1:5" ht="16.5" customHeight="1">
      <c r="A109" s="124">
        <v>2050404</v>
      </c>
      <c r="B109" s="124" t="s">
        <v>436</v>
      </c>
      <c r="C109" s="125"/>
      <c r="D109" s="125">
        <v>15</v>
      </c>
      <c r="E109" s="127">
        <f t="shared" si="1"/>
        <v>0</v>
      </c>
    </row>
    <row r="110" spans="1:5" ht="16.5" customHeight="1">
      <c r="A110" s="124">
        <v>2050701</v>
      </c>
      <c r="B110" s="124" t="s">
        <v>437</v>
      </c>
      <c r="C110" s="125">
        <v>1536</v>
      </c>
      <c r="D110" s="125">
        <v>1484</v>
      </c>
      <c r="E110" s="127">
        <f t="shared" si="1"/>
        <v>103.5</v>
      </c>
    </row>
    <row r="111" spans="1:5" ht="16.5" customHeight="1">
      <c r="A111" s="124">
        <v>2050799</v>
      </c>
      <c r="B111" s="124" t="s">
        <v>438</v>
      </c>
      <c r="C111" s="125">
        <v>40</v>
      </c>
      <c r="D111" s="125"/>
      <c r="E111" s="127">
        <f t="shared" si="1"/>
        <v>0</v>
      </c>
    </row>
    <row r="112" spans="1:5" ht="16.5" customHeight="1">
      <c r="A112" s="124">
        <v>2050801</v>
      </c>
      <c r="B112" s="124" t="s">
        <v>439</v>
      </c>
      <c r="C112" s="125">
        <v>1658</v>
      </c>
      <c r="D112" s="125">
        <v>1963</v>
      </c>
      <c r="E112" s="127">
        <f t="shared" si="1"/>
        <v>84.46</v>
      </c>
    </row>
    <row r="113" spans="1:5" ht="16.5" customHeight="1">
      <c r="A113" s="124">
        <v>2050802</v>
      </c>
      <c r="B113" s="124" t="s">
        <v>440</v>
      </c>
      <c r="C113" s="125">
        <v>2200</v>
      </c>
      <c r="D113" s="125">
        <v>11813</v>
      </c>
      <c r="E113" s="127">
        <f t="shared" si="1"/>
        <v>18.62</v>
      </c>
    </row>
    <row r="114" spans="1:5" ht="16.5" customHeight="1">
      <c r="A114" s="124">
        <v>2050899</v>
      </c>
      <c r="B114" s="124" t="s">
        <v>441</v>
      </c>
      <c r="C114" s="125">
        <v>142</v>
      </c>
      <c r="D114" s="125">
        <v>162</v>
      </c>
      <c r="E114" s="127">
        <f t="shared" si="1"/>
        <v>87.65</v>
      </c>
    </row>
    <row r="115" spans="1:5" ht="16.5" customHeight="1">
      <c r="A115" s="124">
        <v>2050999</v>
      </c>
      <c r="B115" s="124" t="s">
        <v>442</v>
      </c>
      <c r="C115" s="125">
        <v>4009</v>
      </c>
      <c r="D115" s="125">
        <v>3799</v>
      </c>
      <c r="E115" s="127">
        <f t="shared" si="1"/>
        <v>105.53</v>
      </c>
    </row>
    <row r="116" spans="1:5" ht="16.5" customHeight="1">
      <c r="A116" s="124">
        <v>2059999</v>
      </c>
      <c r="B116" s="124" t="s">
        <v>443</v>
      </c>
      <c r="C116" s="125">
        <v>18970</v>
      </c>
      <c r="D116" s="125">
        <v>7786</v>
      </c>
      <c r="E116" s="127">
        <f t="shared" si="1"/>
        <v>243.64</v>
      </c>
    </row>
    <row r="117" spans="1:5" ht="16.5" customHeight="1">
      <c r="A117" s="193" t="s">
        <v>853</v>
      </c>
      <c r="B117" s="194" t="s">
        <v>444</v>
      </c>
      <c r="C117" s="126">
        <f>SUM(C118:C131)</f>
        <v>9462</v>
      </c>
      <c r="D117" s="126">
        <f>SUM(D118:D131)</f>
        <v>6661</v>
      </c>
      <c r="E117" s="127">
        <f t="shared" si="1"/>
        <v>142.05000000000001</v>
      </c>
    </row>
    <row r="118" spans="1:5" ht="16.5" customHeight="1">
      <c r="A118" s="124">
        <v>2060101</v>
      </c>
      <c r="B118" s="124" t="s">
        <v>387</v>
      </c>
      <c r="C118" s="125">
        <v>264</v>
      </c>
      <c r="D118" s="125">
        <v>301</v>
      </c>
      <c r="E118" s="127">
        <f t="shared" si="1"/>
        <v>87.71</v>
      </c>
    </row>
    <row r="119" spans="1:5" ht="16.5" customHeight="1">
      <c r="A119" s="124">
        <v>2060102</v>
      </c>
      <c r="B119" s="124" t="s">
        <v>396</v>
      </c>
      <c r="C119" s="125"/>
      <c r="D119" s="125">
        <v>9</v>
      </c>
      <c r="E119" s="127">
        <f t="shared" si="1"/>
        <v>0</v>
      </c>
    </row>
    <row r="120" spans="1:5" ht="16.5" customHeight="1">
      <c r="A120" s="124">
        <v>2060301</v>
      </c>
      <c r="B120" s="124" t="s">
        <v>445</v>
      </c>
      <c r="C120" s="125">
        <v>84</v>
      </c>
      <c r="D120" s="125">
        <v>85</v>
      </c>
      <c r="E120" s="127">
        <f t="shared" si="1"/>
        <v>98.82</v>
      </c>
    </row>
    <row r="121" spans="1:5" ht="16.5" customHeight="1">
      <c r="A121" s="124">
        <v>2060302</v>
      </c>
      <c r="B121" s="124" t="s">
        <v>446</v>
      </c>
      <c r="C121" s="125">
        <v>1735</v>
      </c>
      <c r="D121" s="125">
        <v>1610</v>
      </c>
      <c r="E121" s="127">
        <f t="shared" si="1"/>
        <v>107.76</v>
      </c>
    </row>
    <row r="122" spans="1:5" ht="16.5" customHeight="1">
      <c r="A122" s="124">
        <v>2060404</v>
      </c>
      <c r="B122" s="124" t="s">
        <v>616</v>
      </c>
      <c r="C122" s="125"/>
      <c r="D122" s="125">
        <v>130</v>
      </c>
      <c r="E122" s="127"/>
    </row>
    <row r="123" spans="1:5" ht="16.5" customHeight="1">
      <c r="A123" s="124">
        <v>2060499</v>
      </c>
      <c r="B123" s="124" t="s">
        <v>447</v>
      </c>
      <c r="C123" s="125">
        <v>5656</v>
      </c>
      <c r="D123" s="125">
        <v>2164</v>
      </c>
      <c r="E123" s="127">
        <f t="shared" si="1"/>
        <v>261.37</v>
      </c>
    </row>
    <row r="124" spans="1:5" ht="16.5" customHeight="1">
      <c r="A124" s="124">
        <v>2060501</v>
      </c>
      <c r="B124" s="124" t="s">
        <v>445</v>
      </c>
      <c r="C124" s="125">
        <v>254</v>
      </c>
      <c r="D124" s="125">
        <v>285</v>
      </c>
      <c r="E124" s="127">
        <f t="shared" si="1"/>
        <v>89.12</v>
      </c>
    </row>
    <row r="125" spans="1:5" ht="16.5" customHeight="1">
      <c r="A125" s="124">
        <v>2060502</v>
      </c>
      <c r="B125" s="124" t="s">
        <v>448</v>
      </c>
      <c r="C125" s="125"/>
      <c r="D125" s="125">
        <v>20</v>
      </c>
      <c r="E125" s="127">
        <f t="shared" si="1"/>
        <v>0</v>
      </c>
    </row>
    <row r="126" spans="1:5" ht="16.5" customHeight="1">
      <c r="A126" s="124">
        <v>2060602</v>
      </c>
      <c r="B126" s="124" t="s">
        <v>449</v>
      </c>
      <c r="C126" s="125">
        <v>273</v>
      </c>
      <c r="D126" s="125">
        <v>245</v>
      </c>
      <c r="E126" s="127">
        <f t="shared" si="1"/>
        <v>111.43</v>
      </c>
    </row>
    <row r="127" spans="1:5" ht="16.5" customHeight="1">
      <c r="A127" s="124">
        <v>2060701</v>
      </c>
      <c r="B127" s="124" t="s">
        <v>445</v>
      </c>
      <c r="C127" s="125">
        <v>345</v>
      </c>
      <c r="D127" s="125">
        <v>346</v>
      </c>
      <c r="E127" s="127">
        <f t="shared" si="1"/>
        <v>99.71</v>
      </c>
    </row>
    <row r="128" spans="1:5" ht="16.5" customHeight="1">
      <c r="A128" s="124">
        <v>2060702</v>
      </c>
      <c r="B128" s="124" t="s">
        <v>450</v>
      </c>
      <c r="C128" s="125">
        <v>205</v>
      </c>
      <c r="D128" s="125">
        <v>239</v>
      </c>
      <c r="E128" s="127">
        <f t="shared" si="1"/>
        <v>85.77</v>
      </c>
    </row>
    <row r="129" spans="1:5" ht="16.5" customHeight="1">
      <c r="A129" s="124">
        <v>2060705</v>
      </c>
      <c r="B129" s="124" t="s">
        <v>451</v>
      </c>
      <c r="C129" s="125">
        <v>194</v>
      </c>
      <c r="D129" s="125">
        <v>242</v>
      </c>
      <c r="E129" s="127">
        <f t="shared" si="1"/>
        <v>80.17</v>
      </c>
    </row>
    <row r="130" spans="1:5" ht="16.5" customHeight="1">
      <c r="A130" s="124">
        <v>2060799</v>
      </c>
      <c r="B130" s="124" t="s">
        <v>452</v>
      </c>
      <c r="C130" s="125">
        <v>92</v>
      </c>
      <c r="D130" s="125">
        <v>95</v>
      </c>
      <c r="E130" s="127">
        <f t="shared" si="1"/>
        <v>96.84</v>
      </c>
    </row>
    <row r="131" spans="1:5" ht="16.5" customHeight="1">
      <c r="A131" s="124">
        <v>2069999</v>
      </c>
      <c r="B131" s="124" t="s">
        <v>453</v>
      </c>
      <c r="C131" s="125">
        <v>360</v>
      </c>
      <c r="D131" s="125">
        <v>890</v>
      </c>
      <c r="E131" s="127">
        <f t="shared" si="1"/>
        <v>40.450000000000003</v>
      </c>
    </row>
    <row r="132" spans="1:5" ht="16.5" customHeight="1">
      <c r="A132" s="193" t="s">
        <v>854</v>
      </c>
      <c r="B132" s="194" t="s">
        <v>454</v>
      </c>
      <c r="C132" s="126">
        <f>SUM(C133:C155)</f>
        <v>14177</v>
      </c>
      <c r="D132" s="126">
        <f>SUM(D133:D155)</f>
        <v>12827</v>
      </c>
      <c r="E132" s="127">
        <f t="shared" si="1"/>
        <v>110.52</v>
      </c>
    </row>
    <row r="133" spans="1:5" ht="16.5" customHeight="1">
      <c r="A133" s="124">
        <v>2070101</v>
      </c>
      <c r="B133" s="124" t="s">
        <v>387</v>
      </c>
      <c r="C133" s="125">
        <v>441</v>
      </c>
      <c r="D133" s="125">
        <v>531</v>
      </c>
      <c r="E133" s="127">
        <f t="shared" si="1"/>
        <v>83.05</v>
      </c>
    </row>
    <row r="134" spans="1:5" ht="16.5" customHeight="1">
      <c r="A134" s="124">
        <v>2070102</v>
      </c>
      <c r="B134" s="124" t="s">
        <v>396</v>
      </c>
      <c r="C134" s="125">
        <v>4</v>
      </c>
      <c r="D134" s="125">
        <v>29</v>
      </c>
      <c r="E134" s="127">
        <f t="shared" si="1"/>
        <v>13.79</v>
      </c>
    </row>
    <row r="135" spans="1:5" ht="16.5" customHeight="1">
      <c r="A135" s="124">
        <v>2070104</v>
      </c>
      <c r="B135" s="124" t="s">
        <v>455</v>
      </c>
      <c r="C135" s="125">
        <v>451</v>
      </c>
      <c r="D135" s="125">
        <v>460</v>
      </c>
      <c r="E135" s="127">
        <f t="shared" si="1"/>
        <v>98.04</v>
      </c>
    </row>
    <row r="136" spans="1:5" ht="16.5" customHeight="1">
      <c r="A136" s="124">
        <v>2070107</v>
      </c>
      <c r="B136" s="124" t="s">
        <v>456</v>
      </c>
      <c r="C136" s="125">
        <v>456</v>
      </c>
      <c r="D136" s="125">
        <v>479</v>
      </c>
      <c r="E136" s="127">
        <f t="shared" si="1"/>
        <v>95.2</v>
      </c>
    </row>
    <row r="137" spans="1:5" ht="16.5" customHeight="1">
      <c r="A137" s="124">
        <v>2070109</v>
      </c>
      <c r="B137" s="124" t="s">
        <v>457</v>
      </c>
      <c r="C137" s="125">
        <v>362</v>
      </c>
      <c r="D137" s="125">
        <v>368</v>
      </c>
      <c r="E137" s="127">
        <f t="shared" si="1"/>
        <v>98.37</v>
      </c>
    </row>
    <row r="138" spans="1:5" ht="16.5" customHeight="1">
      <c r="A138" s="124">
        <v>2070111</v>
      </c>
      <c r="B138" s="124" t="s">
        <v>458</v>
      </c>
      <c r="C138" s="125">
        <v>43</v>
      </c>
      <c r="D138" s="125">
        <v>155</v>
      </c>
      <c r="E138" s="127">
        <f t="shared" ref="E138:E207" si="2">IF(D138=0,0,C138*100/D138)</f>
        <v>27.74</v>
      </c>
    </row>
    <row r="139" spans="1:5" ht="16.5" customHeight="1">
      <c r="A139" s="124">
        <v>2070112</v>
      </c>
      <c r="B139" s="124" t="s">
        <v>459</v>
      </c>
      <c r="C139" s="125">
        <v>276</v>
      </c>
      <c r="D139" s="125">
        <v>277</v>
      </c>
      <c r="E139" s="127">
        <f t="shared" si="2"/>
        <v>99.64</v>
      </c>
    </row>
    <row r="140" spans="1:5" ht="16.5" customHeight="1">
      <c r="A140" s="124">
        <v>2070114</v>
      </c>
      <c r="B140" s="124" t="s">
        <v>460</v>
      </c>
      <c r="C140" s="125">
        <v>116</v>
      </c>
      <c r="D140" s="125">
        <v>113</v>
      </c>
      <c r="E140" s="127">
        <f t="shared" si="2"/>
        <v>102.65</v>
      </c>
    </row>
    <row r="141" spans="1:5" ht="16.5" customHeight="1">
      <c r="A141" s="124">
        <v>2070199</v>
      </c>
      <c r="B141" s="124" t="s">
        <v>461</v>
      </c>
      <c r="C141" s="125">
        <v>5630</v>
      </c>
      <c r="D141" s="125">
        <v>4182</v>
      </c>
      <c r="E141" s="127">
        <f t="shared" si="2"/>
        <v>134.62</v>
      </c>
    </row>
    <row r="142" spans="1:5" ht="16.5" customHeight="1">
      <c r="A142" s="124">
        <v>2070201</v>
      </c>
      <c r="B142" s="124" t="s">
        <v>387</v>
      </c>
      <c r="C142" s="125">
        <v>102</v>
      </c>
      <c r="D142" s="125">
        <v>91</v>
      </c>
      <c r="E142" s="127">
        <f t="shared" si="2"/>
        <v>112.09</v>
      </c>
    </row>
    <row r="143" spans="1:5" ht="16.5" customHeight="1">
      <c r="A143" s="124">
        <v>2070202</v>
      </c>
      <c r="B143" s="124" t="s">
        <v>396</v>
      </c>
      <c r="C143" s="125"/>
      <c r="D143" s="125">
        <v>1</v>
      </c>
      <c r="E143" s="127">
        <f t="shared" si="2"/>
        <v>0</v>
      </c>
    </row>
    <row r="144" spans="1:5" ht="16.5" customHeight="1">
      <c r="A144" s="124">
        <v>2070204</v>
      </c>
      <c r="B144" s="124" t="s">
        <v>462</v>
      </c>
      <c r="C144" s="125">
        <v>161</v>
      </c>
      <c r="D144" s="125">
        <v>124</v>
      </c>
      <c r="E144" s="127">
        <f t="shared" si="2"/>
        <v>129.84</v>
      </c>
    </row>
    <row r="145" spans="1:5" ht="16.5" customHeight="1">
      <c r="A145" s="124">
        <v>2070205</v>
      </c>
      <c r="B145" s="124" t="s">
        <v>463</v>
      </c>
      <c r="C145" s="125">
        <v>236</v>
      </c>
      <c r="D145" s="125">
        <v>256</v>
      </c>
      <c r="E145" s="127">
        <f t="shared" si="2"/>
        <v>92.19</v>
      </c>
    </row>
    <row r="146" spans="1:5" ht="16.5" customHeight="1">
      <c r="A146" s="124">
        <v>2070301</v>
      </c>
      <c r="B146" s="124" t="s">
        <v>387</v>
      </c>
      <c r="C146" s="125">
        <v>227</v>
      </c>
      <c r="D146" s="125">
        <v>222</v>
      </c>
      <c r="E146" s="127">
        <f t="shared" si="2"/>
        <v>102.25</v>
      </c>
    </row>
    <row r="147" spans="1:5" ht="16.5" customHeight="1">
      <c r="A147" s="124">
        <v>2070304</v>
      </c>
      <c r="B147" s="124" t="s">
        <v>464</v>
      </c>
      <c r="C147" s="125">
        <v>103</v>
      </c>
      <c r="D147" s="125">
        <v>93</v>
      </c>
      <c r="E147" s="127">
        <f t="shared" si="2"/>
        <v>110.75</v>
      </c>
    </row>
    <row r="148" spans="1:5" ht="16.5" customHeight="1">
      <c r="A148" s="124">
        <v>2070307</v>
      </c>
      <c r="B148" s="124" t="s">
        <v>465</v>
      </c>
      <c r="C148" s="125">
        <v>274</v>
      </c>
      <c r="D148" s="125">
        <v>233</v>
      </c>
      <c r="E148" s="127">
        <f t="shared" si="2"/>
        <v>117.6</v>
      </c>
    </row>
    <row r="149" spans="1:5" ht="16.5" customHeight="1">
      <c r="A149" s="124">
        <v>2070308</v>
      </c>
      <c r="B149" s="124" t="s">
        <v>466</v>
      </c>
      <c r="C149" s="125">
        <v>1296</v>
      </c>
      <c r="D149" s="125">
        <v>1063</v>
      </c>
      <c r="E149" s="127">
        <f t="shared" si="2"/>
        <v>121.92</v>
      </c>
    </row>
    <row r="150" spans="1:5" ht="16.5" customHeight="1">
      <c r="A150" s="124">
        <v>2070399</v>
      </c>
      <c r="B150" s="124" t="s">
        <v>467</v>
      </c>
      <c r="C150" s="125">
        <v>1268</v>
      </c>
      <c r="D150" s="125">
        <v>534</v>
      </c>
      <c r="E150" s="127">
        <f t="shared" si="2"/>
        <v>237.45</v>
      </c>
    </row>
    <row r="151" spans="1:5" ht="16.5" customHeight="1">
      <c r="A151" s="124">
        <v>2070602</v>
      </c>
      <c r="B151" s="124" t="s">
        <v>396</v>
      </c>
      <c r="C151" s="125"/>
      <c r="D151" s="125">
        <v>5</v>
      </c>
      <c r="E151" s="127">
        <f t="shared" si="2"/>
        <v>0</v>
      </c>
    </row>
    <row r="152" spans="1:5" ht="16.5" customHeight="1">
      <c r="A152" s="124">
        <v>2070605</v>
      </c>
      <c r="B152" s="124" t="s">
        <v>468</v>
      </c>
      <c r="C152" s="125"/>
      <c r="D152" s="125">
        <v>427</v>
      </c>
      <c r="E152" s="127">
        <f t="shared" si="2"/>
        <v>0</v>
      </c>
    </row>
    <row r="153" spans="1:5" ht="16.5" customHeight="1">
      <c r="A153" s="124">
        <v>2070802</v>
      </c>
      <c r="B153" s="124" t="s">
        <v>396</v>
      </c>
      <c r="C153" s="125"/>
      <c r="D153" s="125">
        <v>8</v>
      </c>
      <c r="E153" s="127">
        <f t="shared" si="2"/>
        <v>0</v>
      </c>
    </row>
    <row r="154" spans="1:5" ht="16.5" customHeight="1">
      <c r="A154" s="124">
        <v>2070899</v>
      </c>
      <c r="B154" s="124" t="s">
        <v>469</v>
      </c>
      <c r="C154" s="125">
        <v>1731</v>
      </c>
      <c r="D154" s="125">
        <v>1223</v>
      </c>
      <c r="E154" s="127">
        <f t="shared" si="2"/>
        <v>141.54</v>
      </c>
    </row>
    <row r="155" spans="1:5" ht="16.5" customHeight="1">
      <c r="A155" s="124">
        <v>2079999</v>
      </c>
      <c r="B155" s="124" t="s">
        <v>470</v>
      </c>
      <c r="C155" s="125">
        <v>1000</v>
      </c>
      <c r="D155" s="125">
        <v>1953</v>
      </c>
      <c r="E155" s="127">
        <f t="shared" si="2"/>
        <v>51.2</v>
      </c>
    </row>
    <row r="156" spans="1:5" ht="16.5" customHeight="1">
      <c r="A156" s="193" t="s">
        <v>855</v>
      </c>
      <c r="B156" s="194" t="s">
        <v>471</v>
      </c>
      <c r="C156" s="126">
        <f>SUM(C157:C203)</f>
        <v>84592</v>
      </c>
      <c r="D156" s="126">
        <f>SUM(D157:D203)</f>
        <v>75847</v>
      </c>
      <c r="E156" s="127">
        <f t="shared" si="2"/>
        <v>111.53</v>
      </c>
    </row>
    <row r="157" spans="1:5" ht="16.5" customHeight="1">
      <c r="A157" s="124">
        <v>2080101</v>
      </c>
      <c r="B157" s="124" t="s">
        <v>387</v>
      </c>
      <c r="C157" s="125">
        <v>677</v>
      </c>
      <c r="D157" s="125">
        <v>762</v>
      </c>
      <c r="E157" s="127">
        <f t="shared" si="2"/>
        <v>88.85</v>
      </c>
    </row>
    <row r="158" spans="1:5" ht="16.5" customHeight="1">
      <c r="A158" s="124">
        <v>2080106</v>
      </c>
      <c r="B158" s="124" t="s">
        <v>472</v>
      </c>
      <c r="C158" s="125">
        <v>196</v>
      </c>
      <c r="D158" s="125">
        <v>202</v>
      </c>
      <c r="E158" s="127">
        <f t="shared" si="2"/>
        <v>97.03</v>
      </c>
    </row>
    <row r="159" spans="1:5" ht="16.5" customHeight="1">
      <c r="A159" s="124">
        <v>2080107</v>
      </c>
      <c r="B159" s="124" t="s">
        <v>700</v>
      </c>
      <c r="C159" s="125">
        <v>41</v>
      </c>
      <c r="D159" s="125"/>
      <c r="E159" s="127"/>
    </row>
    <row r="160" spans="1:5" ht="16.5" customHeight="1">
      <c r="A160" s="124">
        <v>2080109</v>
      </c>
      <c r="B160" s="124" t="s">
        <v>473</v>
      </c>
      <c r="C160" s="125">
        <v>394</v>
      </c>
      <c r="D160" s="125">
        <v>1577</v>
      </c>
      <c r="E160" s="127">
        <f t="shared" si="2"/>
        <v>24.98</v>
      </c>
    </row>
    <row r="161" spans="1:5" ht="16.5" customHeight="1">
      <c r="A161" s="124">
        <v>2080111</v>
      </c>
      <c r="B161" s="124" t="s">
        <v>474</v>
      </c>
      <c r="C161" s="125">
        <v>130</v>
      </c>
      <c r="D161" s="125">
        <v>130</v>
      </c>
      <c r="E161" s="127">
        <f t="shared" si="2"/>
        <v>100</v>
      </c>
    </row>
    <row r="162" spans="1:5" ht="16.5" customHeight="1">
      <c r="A162" s="124">
        <v>2080116</v>
      </c>
      <c r="B162" s="124" t="s">
        <v>475</v>
      </c>
      <c r="C162" s="125"/>
      <c r="D162" s="125">
        <v>1200</v>
      </c>
      <c r="E162" s="127">
        <f t="shared" si="2"/>
        <v>0</v>
      </c>
    </row>
    <row r="163" spans="1:5" ht="16.5" customHeight="1">
      <c r="A163" s="124">
        <v>2080150</v>
      </c>
      <c r="B163" s="124" t="s">
        <v>389</v>
      </c>
      <c r="C163" s="125">
        <v>15</v>
      </c>
      <c r="D163" s="125"/>
      <c r="E163" s="127"/>
    </row>
    <row r="164" spans="1:5" ht="16.5" customHeight="1">
      <c r="A164" s="124">
        <v>2080199</v>
      </c>
      <c r="B164" s="124" t="s">
        <v>476</v>
      </c>
      <c r="C164" s="125">
        <v>491</v>
      </c>
      <c r="D164" s="125">
        <v>530</v>
      </c>
      <c r="E164" s="127">
        <f t="shared" si="2"/>
        <v>92.64</v>
      </c>
    </row>
    <row r="165" spans="1:5" ht="16.5" customHeight="1">
      <c r="A165" s="124">
        <v>2080201</v>
      </c>
      <c r="B165" s="124" t="s">
        <v>387</v>
      </c>
      <c r="C165" s="125">
        <v>484</v>
      </c>
      <c r="D165" s="125">
        <v>512</v>
      </c>
      <c r="E165" s="127">
        <f t="shared" si="2"/>
        <v>94.53</v>
      </c>
    </row>
    <row r="166" spans="1:5" ht="16.5" customHeight="1">
      <c r="A166" s="124">
        <v>2080206</v>
      </c>
      <c r="B166" s="124" t="s">
        <v>617</v>
      </c>
      <c r="C166" s="125">
        <v>89</v>
      </c>
      <c r="D166" s="125">
        <v>29</v>
      </c>
      <c r="E166" s="127"/>
    </row>
    <row r="167" spans="1:5" ht="16.5" customHeight="1">
      <c r="A167" s="124">
        <v>2080208</v>
      </c>
      <c r="B167" s="124" t="s">
        <v>477</v>
      </c>
      <c r="C167" s="125">
        <v>9</v>
      </c>
      <c r="D167" s="125">
        <v>9</v>
      </c>
      <c r="E167" s="127">
        <f t="shared" si="2"/>
        <v>100</v>
      </c>
    </row>
    <row r="168" spans="1:5" ht="16.5" customHeight="1">
      <c r="A168" s="124">
        <v>2080299</v>
      </c>
      <c r="B168" s="124" t="s">
        <v>478</v>
      </c>
      <c r="C168" s="125">
        <v>290</v>
      </c>
      <c r="D168" s="125">
        <v>112</v>
      </c>
      <c r="E168" s="127">
        <f t="shared" si="2"/>
        <v>258.93</v>
      </c>
    </row>
    <row r="169" spans="1:5" ht="16.5" customHeight="1">
      <c r="A169" s="124">
        <v>2080501</v>
      </c>
      <c r="B169" s="124" t="s">
        <v>479</v>
      </c>
      <c r="C169" s="125">
        <v>1700</v>
      </c>
      <c r="D169" s="125">
        <v>332</v>
      </c>
      <c r="E169" s="127">
        <f t="shared" si="2"/>
        <v>512.04999999999995</v>
      </c>
    </row>
    <row r="170" spans="1:5" ht="16.5" customHeight="1">
      <c r="A170" s="124">
        <v>2080502</v>
      </c>
      <c r="B170" s="124" t="s">
        <v>480</v>
      </c>
      <c r="C170" s="125">
        <v>66</v>
      </c>
      <c r="D170" s="125">
        <v>35</v>
      </c>
      <c r="E170" s="127">
        <f t="shared" si="2"/>
        <v>188.57</v>
      </c>
    </row>
    <row r="171" spans="1:5" ht="16.5" customHeight="1">
      <c r="A171" s="124">
        <v>2080505</v>
      </c>
      <c r="B171" s="124" t="s">
        <v>481</v>
      </c>
      <c r="C171" s="125">
        <v>11479</v>
      </c>
      <c r="D171" s="125">
        <v>7208</v>
      </c>
      <c r="E171" s="127">
        <f t="shared" si="2"/>
        <v>159.25</v>
      </c>
    </row>
    <row r="172" spans="1:5" ht="16.5" customHeight="1">
      <c r="A172" s="124">
        <v>2080506</v>
      </c>
      <c r="B172" s="124" t="s">
        <v>482</v>
      </c>
      <c r="C172" s="125">
        <v>5701</v>
      </c>
      <c r="D172" s="125">
        <v>3565</v>
      </c>
      <c r="E172" s="127">
        <f t="shared" si="2"/>
        <v>159.91999999999999</v>
      </c>
    </row>
    <row r="173" spans="1:5" ht="16.5" customHeight="1">
      <c r="A173" s="124">
        <v>2080507</v>
      </c>
      <c r="B173" s="124" t="s">
        <v>483</v>
      </c>
      <c r="C173" s="125">
        <v>35200</v>
      </c>
      <c r="D173" s="125">
        <v>36500</v>
      </c>
      <c r="E173" s="127">
        <f t="shared" si="2"/>
        <v>96.44</v>
      </c>
    </row>
    <row r="174" spans="1:5" ht="16.5" customHeight="1">
      <c r="A174" s="124">
        <v>2080508</v>
      </c>
      <c r="B174" s="124" t="s">
        <v>618</v>
      </c>
      <c r="C174" s="125">
        <v>2300</v>
      </c>
      <c r="D174" s="125">
        <v>500</v>
      </c>
      <c r="E174" s="127"/>
    </row>
    <row r="175" spans="1:5" ht="16.5" customHeight="1">
      <c r="A175" s="124">
        <v>2080599</v>
      </c>
      <c r="B175" s="124" t="s">
        <v>484</v>
      </c>
      <c r="C175" s="125">
        <v>2414</v>
      </c>
      <c r="D175" s="125">
        <v>2071</v>
      </c>
      <c r="E175" s="127">
        <f t="shared" si="2"/>
        <v>116.56</v>
      </c>
    </row>
    <row r="176" spans="1:5" ht="16.5" customHeight="1">
      <c r="A176" s="124">
        <v>2080799</v>
      </c>
      <c r="B176" s="124" t="s">
        <v>485</v>
      </c>
      <c r="C176" s="125">
        <v>6399</v>
      </c>
      <c r="D176" s="125">
        <v>4527</v>
      </c>
      <c r="E176" s="127">
        <f t="shared" si="2"/>
        <v>141.35</v>
      </c>
    </row>
    <row r="177" spans="1:5" ht="16.5" customHeight="1">
      <c r="A177" s="124">
        <v>2080808</v>
      </c>
      <c r="B177" s="124" t="s">
        <v>619</v>
      </c>
      <c r="C177" s="125"/>
      <c r="D177" s="125">
        <v>30</v>
      </c>
      <c r="E177" s="127"/>
    </row>
    <row r="178" spans="1:5" ht="16.5" customHeight="1">
      <c r="A178" s="124">
        <v>2080899</v>
      </c>
      <c r="B178" s="124" t="s">
        <v>620</v>
      </c>
      <c r="C178" s="125">
        <v>2414</v>
      </c>
      <c r="D178" s="125">
        <v>5356</v>
      </c>
      <c r="E178" s="127"/>
    </row>
    <row r="179" spans="1:5" ht="16.5" customHeight="1">
      <c r="A179" s="124">
        <v>2080902</v>
      </c>
      <c r="B179" s="124" t="s">
        <v>486</v>
      </c>
      <c r="C179" s="125"/>
      <c r="D179" s="125">
        <v>860</v>
      </c>
      <c r="E179" s="127">
        <f t="shared" si="2"/>
        <v>0</v>
      </c>
    </row>
    <row r="180" spans="1:5" ht="16.5" customHeight="1">
      <c r="A180" s="124">
        <v>2080903</v>
      </c>
      <c r="B180" s="124" t="s">
        <v>487</v>
      </c>
      <c r="C180" s="125">
        <v>136</v>
      </c>
      <c r="D180" s="125">
        <v>215</v>
      </c>
      <c r="E180" s="127">
        <f t="shared" si="2"/>
        <v>63.26</v>
      </c>
    </row>
    <row r="181" spans="1:5" ht="16.5" customHeight="1">
      <c r="A181" s="124">
        <v>2080905</v>
      </c>
      <c r="B181" s="124" t="s">
        <v>488</v>
      </c>
      <c r="C181" s="125">
        <v>129</v>
      </c>
      <c r="D181" s="125">
        <v>94</v>
      </c>
      <c r="E181" s="127">
        <f t="shared" si="2"/>
        <v>137.22999999999999</v>
      </c>
    </row>
    <row r="182" spans="1:5" ht="16.5" customHeight="1">
      <c r="A182" s="124">
        <v>2080999</v>
      </c>
      <c r="B182" s="124" t="s">
        <v>489</v>
      </c>
      <c r="C182" s="125">
        <v>2481</v>
      </c>
      <c r="D182" s="125">
        <v>2468</v>
      </c>
      <c r="E182" s="127">
        <f t="shared" si="2"/>
        <v>100.53</v>
      </c>
    </row>
    <row r="183" spans="1:5" ht="16.5" customHeight="1">
      <c r="A183" s="124">
        <v>2081001</v>
      </c>
      <c r="B183" s="124" t="s">
        <v>490</v>
      </c>
      <c r="C183" s="125">
        <v>32</v>
      </c>
      <c r="D183" s="125"/>
      <c r="E183" s="127">
        <f t="shared" si="2"/>
        <v>0</v>
      </c>
    </row>
    <row r="184" spans="1:5" ht="16.5" customHeight="1">
      <c r="A184" s="124">
        <v>2081002</v>
      </c>
      <c r="B184" s="124" t="s">
        <v>701</v>
      </c>
      <c r="C184" s="125">
        <v>30</v>
      </c>
      <c r="D184" s="125"/>
      <c r="E184" s="127">
        <f t="shared" si="2"/>
        <v>0</v>
      </c>
    </row>
    <row r="185" spans="1:5" ht="16.5" customHeight="1">
      <c r="A185" s="124">
        <v>2081004</v>
      </c>
      <c r="B185" s="124" t="s">
        <v>491</v>
      </c>
      <c r="C185" s="125">
        <v>230</v>
      </c>
      <c r="D185" s="125">
        <v>255</v>
      </c>
      <c r="E185" s="127">
        <f t="shared" si="2"/>
        <v>90.2</v>
      </c>
    </row>
    <row r="186" spans="1:5" ht="16.5" customHeight="1">
      <c r="A186" s="124">
        <v>2081005</v>
      </c>
      <c r="B186" s="124" t="s">
        <v>492</v>
      </c>
      <c r="C186" s="125">
        <v>760</v>
      </c>
      <c r="D186" s="125">
        <v>858</v>
      </c>
      <c r="E186" s="127">
        <f t="shared" si="2"/>
        <v>88.58</v>
      </c>
    </row>
    <row r="187" spans="1:5" ht="16.5" customHeight="1">
      <c r="A187" s="124">
        <v>2081006</v>
      </c>
      <c r="B187" s="124" t="s">
        <v>702</v>
      </c>
      <c r="C187" s="125">
        <v>315</v>
      </c>
      <c r="D187" s="125"/>
      <c r="E187" s="127"/>
    </row>
    <row r="188" spans="1:5" ht="16.5" customHeight="1">
      <c r="A188" s="124">
        <v>2081101</v>
      </c>
      <c r="B188" s="124" t="s">
        <v>387</v>
      </c>
      <c r="C188" s="125">
        <v>296</v>
      </c>
      <c r="D188" s="125">
        <v>336</v>
      </c>
      <c r="E188" s="127">
        <f t="shared" si="2"/>
        <v>88.1</v>
      </c>
    </row>
    <row r="189" spans="1:5" ht="16.5" customHeight="1">
      <c r="A189" s="124">
        <v>2081102</v>
      </c>
      <c r="B189" s="124" t="s">
        <v>396</v>
      </c>
      <c r="C189" s="125">
        <v>1</v>
      </c>
      <c r="D189" s="125">
        <v>1</v>
      </c>
      <c r="E189" s="127">
        <f t="shared" si="2"/>
        <v>100</v>
      </c>
    </row>
    <row r="190" spans="1:5" ht="16.5" customHeight="1">
      <c r="A190" s="124">
        <v>2081104</v>
      </c>
      <c r="B190" s="124" t="s">
        <v>493</v>
      </c>
      <c r="C190" s="125"/>
      <c r="D190" s="125">
        <v>39</v>
      </c>
      <c r="E190" s="127">
        <f t="shared" si="2"/>
        <v>0</v>
      </c>
    </row>
    <row r="191" spans="1:5" ht="16.5" customHeight="1">
      <c r="A191" s="124">
        <v>2081105</v>
      </c>
      <c r="B191" s="124" t="s">
        <v>494</v>
      </c>
      <c r="C191" s="125">
        <v>108</v>
      </c>
      <c r="D191" s="125">
        <v>108</v>
      </c>
      <c r="E191" s="127">
        <f t="shared" si="2"/>
        <v>100</v>
      </c>
    </row>
    <row r="192" spans="1:5" ht="16.5" customHeight="1">
      <c r="A192" s="124">
        <v>2081199</v>
      </c>
      <c r="B192" s="124" t="s">
        <v>495</v>
      </c>
      <c r="C192" s="125">
        <v>2340</v>
      </c>
      <c r="D192" s="125">
        <v>1318</v>
      </c>
      <c r="E192" s="127">
        <f t="shared" si="2"/>
        <v>177.54</v>
      </c>
    </row>
    <row r="193" spans="1:5" ht="16.5" customHeight="1">
      <c r="A193" s="124">
        <v>2081601</v>
      </c>
      <c r="B193" s="124" t="s">
        <v>387</v>
      </c>
      <c r="C193" s="125">
        <v>146</v>
      </c>
      <c r="D193" s="125">
        <v>110</v>
      </c>
      <c r="E193" s="127">
        <f t="shared" si="2"/>
        <v>132.72999999999999</v>
      </c>
    </row>
    <row r="194" spans="1:5" ht="16.5" customHeight="1">
      <c r="A194" s="124">
        <v>2081902</v>
      </c>
      <c r="B194" s="124" t="s">
        <v>496</v>
      </c>
      <c r="C194" s="125">
        <v>122</v>
      </c>
      <c r="D194" s="125">
        <v>105</v>
      </c>
      <c r="E194" s="127">
        <f t="shared" si="2"/>
        <v>116.19</v>
      </c>
    </row>
    <row r="195" spans="1:5" ht="16.5" customHeight="1">
      <c r="A195" s="124">
        <v>2082001</v>
      </c>
      <c r="B195" s="124" t="s">
        <v>621</v>
      </c>
      <c r="C195" s="125">
        <v>20</v>
      </c>
      <c r="D195" s="125">
        <v>245</v>
      </c>
      <c r="E195" s="127">
        <f t="shared" si="2"/>
        <v>8.16</v>
      </c>
    </row>
    <row r="196" spans="1:5" ht="16.5" customHeight="1">
      <c r="A196" s="124">
        <v>2082501</v>
      </c>
      <c r="B196" s="124" t="s">
        <v>622</v>
      </c>
      <c r="C196" s="125">
        <v>164</v>
      </c>
      <c r="D196" s="125">
        <v>129</v>
      </c>
      <c r="E196" s="127">
        <f t="shared" si="2"/>
        <v>127.13</v>
      </c>
    </row>
    <row r="197" spans="1:5" ht="16.5" customHeight="1">
      <c r="A197" s="124">
        <v>2082602</v>
      </c>
      <c r="B197" s="124" t="s">
        <v>497</v>
      </c>
      <c r="C197" s="125"/>
      <c r="D197" s="125">
        <v>573</v>
      </c>
      <c r="E197" s="127">
        <f t="shared" si="2"/>
        <v>0</v>
      </c>
    </row>
    <row r="198" spans="1:5" ht="16.5" customHeight="1">
      <c r="A198" s="124">
        <v>2082699</v>
      </c>
      <c r="B198" s="124" t="s">
        <v>623</v>
      </c>
      <c r="C198" s="125">
        <v>587</v>
      </c>
      <c r="D198" s="125">
        <v>67</v>
      </c>
      <c r="E198" s="127"/>
    </row>
    <row r="199" spans="1:5" ht="16.5" customHeight="1">
      <c r="A199" s="124">
        <v>2082799</v>
      </c>
      <c r="B199" s="124" t="s">
        <v>703</v>
      </c>
      <c r="C199" s="125">
        <v>252</v>
      </c>
      <c r="D199" s="125"/>
      <c r="E199" s="127"/>
    </row>
    <row r="200" spans="1:5" ht="16.5" customHeight="1">
      <c r="A200" s="124">
        <v>2082801</v>
      </c>
      <c r="B200" s="124" t="s">
        <v>387</v>
      </c>
      <c r="C200" s="125">
        <v>239</v>
      </c>
      <c r="D200" s="125">
        <v>286</v>
      </c>
      <c r="E200" s="127">
        <f t="shared" si="2"/>
        <v>83.57</v>
      </c>
    </row>
    <row r="201" spans="1:5" ht="16.5" customHeight="1">
      <c r="A201" s="124">
        <v>2082804</v>
      </c>
      <c r="B201" s="124" t="s">
        <v>624</v>
      </c>
      <c r="C201" s="125"/>
      <c r="D201" s="125">
        <v>12</v>
      </c>
      <c r="E201" s="127"/>
    </row>
    <row r="202" spans="1:5" ht="16.5" customHeight="1">
      <c r="A202" s="124">
        <v>2082850</v>
      </c>
      <c r="B202" s="124" t="s">
        <v>389</v>
      </c>
      <c r="C202" s="125">
        <v>112</v>
      </c>
      <c r="D202" s="125">
        <v>112</v>
      </c>
      <c r="E202" s="127">
        <f t="shared" si="2"/>
        <v>100</v>
      </c>
    </row>
    <row r="203" spans="1:5" ht="16.5" customHeight="1">
      <c r="A203" s="124">
        <v>2089999</v>
      </c>
      <c r="B203" s="124" t="s">
        <v>498</v>
      </c>
      <c r="C203" s="125">
        <v>5603</v>
      </c>
      <c r="D203" s="125">
        <v>2469</v>
      </c>
      <c r="E203" s="127">
        <f t="shared" si="2"/>
        <v>226.93</v>
      </c>
    </row>
    <row r="204" spans="1:5" ht="16.5" customHeight="1">
      <c r="A204" s="193" t="s">
        <v>856</v>
      </c>
      <c r="B204" s="194" t="s">
        <v>499</v>
      </c>
      <c r="C204" s="126">
        <f>SUM(C205:C231)</f>
        <v>41008</v>
      </c>
      <c r="D204" s="126">
        <f>SUM(D205:D231)</f>
        <v>49985</v>
      </c>
      <c r="E204" s="127">
        <f t="shared" si="2"/>
        <v>82.04</v>
      </c>
    </row>
    <row r="205" spans="1:5" ht="16.5" customHeight="1">
      <c r="A205" s="124">
        <v>2100101</v>
      </c>
      <c r="B205" s="124" t="s">
        <v>387</v>
      </c>
      <c r="C205" s="125">
        <v>940</v>
      </c>
      <c r="D205" s="125">
        <v>1119</v>
      </c>
      <c r="E205" s="127">
        <f t="shared" si="2"/>
        <v>84</v>
      </c>
    </row>
    <row r="206" spans="1:5" ht="16.5" customHeight="1">
      <c r="A206" s="124">
        <v>2100199</v>
      </c>
      <c r="B206" s="124" t="s">
        <v>500</v>
      </c>
      <c r="C206" s="125">
        <v>4883</v>
      </c>
      <c r="D206" s="125">
        <v>4926</v>
      </c>
      <c r="E206" s="127">
        <f t="shared" si="2"/>
        <v>99.13</v>
      </c>
    </row>
    <row r="207" spans="1:5" ht="16.5" customHeight="1">
      <c r="A207" s="124">
        <v>2100201</v>
      </c>
      <c r="B207" s="124" t="s">
        <v>501</v>
      </c>
      <c r="C207" s="125">
        <v>1595</v>
      </c>
      <c r="D207" s="125">
        <v>4504</v>
      </c>
      <c r="E207" s="127">
        <f t="shared" si="2"/>
        <v>35.409999999999997</v>
      </c>
    </row>
    <row r="208" spans="1:5" ht="16.5" customHeight="1">
      <c r="A208" s="124">
        <v>2100202</v>
      </c>
      <c r="B208" s="124" t="s">
        <v>502</v>
      </c>
      <c r="C208" s="125">
        <v>817</v>
      </c>
      <c r="D208" s="125">
        <v>1326</v>
      </c>
      <c r="E208" s="127">
        <f t="shared" ref="E208:E280" si="3">IF(D208=0,0,C208*100/D208)</f>
        <v>61.61</v>
      </c>
    </row>
    <row r="209" spans="1:5" ht="16.5" customHeight="1">
      <c r="A209" s="124">
        <v>2100299</v>
      </c>
      <c r="B209" s="124" t="s">
        <v>503</v>
      </c>
      <c r="C209" s="125">
        <v>789</v>
      </c>
      <c r="D209" s="125">
        <v>2802</v>
      </c>
      <c r="E209" s="127">
        <f t="shared" si="3"/>
        <v>28.16</v>
      </c>
    </row>
    <row r="210" spans="1:5" ht="16.5" customHeight="1">
      <c r="A210" s="124">
        <v>2100399</v>
      </c>
      <c r="B210" s="124" t="s">
        <v>625</v>
      </c>
      <c r="C210" s="125">
        <v>1130</v>
      </c>
      <c r="D210" s="125">
        <v>440</v>
      </c>
      <c r="E210" s="127"/>
    </row>
    <row r="211" spans="1:5" ht="16.5" customHeight="1">
      <c r="A211" s="124">
        <v>2100401</v>
      </c>
      <c r="B211" s="124" t="s">
        <v>504</v>
      </c>
      <c r="C211" s="125">
        <v>2577</v>
      </c>
      <c r="D211" s="125">
        <v>2141</v>
      </c>
      <c r="E211" s="127">
        <f t="shared" si="3"/>
        <v>120.36</v>
      </c>
    </row>
    <row r="212" spans="1:5" ht="16.5" customHeight="1">
      <c r="A212" s="124">
        <v>2100402</v>
      </c>
      <c r="B212" s="124" t="s">
        <v>505</v>
      </c>
      <c r="C212" s="125">
        <v>643</v>
      </c>
      <c r="D212" s="125">
        <v>593</v>
      </c>
      <c r="E212" s="127">
        <f t="shared" si="3"/>
        <v>108.43</v>
      </c>
    </row>
    <row r="213" spans="1:5" ht="16.5" customHeight="1">
      <c r="A213" s="124">
        <v>2100403</v>
      </c>
      <c r="B213" s="124" t="s">
        <v>506</v>
      </c>
      <c r="C213" s="125">
        <v>425</v>
      </c>
      <c r="D213" s="125">
        <v>574</v>
      </c>
      <c r="E213" s="127">
        <f t="shared" si="3"/>
        <v>74.040000000000006</v>
      </c>
    </row>
    <row r="214" spans="1:5" ht="16.5" customHeight="1">
      <c r="A214" s="124">
        <v>2100404</v>
      </c>
      <c r="B214" s="124" t="s">
        <v>507</v>
      </c>
      <c r="C214" s="125">
        <v>1443</v>
      </c>
      <c r="D214" s="125">
        <v>1571</v>
      </c>
      <c r="E214" s="127">
        <f t="shared" si="3"/>
        <v>91.85</v>
      </c>
    </row>
    <row r="215" spans="1:5" ht="16.5" customHeight="1">
      <c r="A215" s="124">
        <v>2100406</v>
      </c>
      <c r="B215" s="124" t="s">
        <v>508</v>
      </c>
      <c r="C215" s="125">
        <v>271</v>
      </c>
      <c r="D215" s="125">
        <v>307</v>
      </c>
      <c r="E215" s="127">
        <f t="shared" si="3"/>
        <v>88.27</v>
      </c>
    </row>
    <row r="216" spans="1:5" ht="16.5" customHeight="1">
      <c r="A216" s="124">
        <v>2100408</v>
      </c>
      <c r="B216" s="124" t="s">
        <v>509</v>
      </c>
      <c r="C216" s="125">
        <v>7892</v>
      </c>
      <c r="D216" s="125">
        <v>16294</v>
      </c>
      <c r="E216" s="127">
        <f t="shared" si="3"/>
        <v>48.44</v>
      </c>
    </row>
    <row r="217" spans="1:5" ht="16.5" customHeight="1">
      <c r="A217" s="124">
        <v>2100410</v>
      </c>
      <c r="B217" s="124" t="s">
        <v>510</v>
      </c>
      <c r="C217" s="125"/>
      <c r="D217" s="125">
        <v>32</v>
      </c>
      <c r="E217" s="127">
        <f t="shared" si="3"/>
        <v>0</v>
      </c>
    </row>
    <row r="218" spans="1:5" ht="16.5" customHeight="1">
      <c r="A218" s="124">
        <v>2100499</v>
      </c>
      <c r="B218" s="124" t="s">
        <v>511</v>
      </c>
      <c r="C218" s="125">
        <v>6554</v>
      </c>
      <c r="D218" s="125">
        <v>2640</v>
      </c>
      <c r="E218" s="127">
        <f t="shared" si="3"/>
        <v>248.26</v>
      </c>
    </row>
    <row r="219" spans="1:5" ht="16.5" customHeight="1">
      <c r="A219" s="124">
        <v>2100601</v>
      </c>
      <c r="B219" s="124" t="s">
        <v>512</v>
      </c>
      <c r="C219" s="125">
        <v>307</v>
      </c>
      <c r="D219" s="125">
        <v>650</v>
      </c>
      <c r="E219" s="127">
        <f t="shared" si="3"/>
        <v>47.23</v>
      </c>
    </row>
    <row r="220" spans="1:5" ht="16.5" customHeight="1">
      <c r="A220" s="124">
        <v>2100717</v>
      </c>
      <c r="B220" s="124" t="s">
        <v>513</v>
      </c>
      <c r="C220" s="125">
        <v>651</v>
      </c>
      <c r="D220" s="125">
        <v>642</v>
      </c>
      <c r="E220" s="127">
        <f t="shared" si="3"/>
        <v>101.4</v>
      </c>
    </row>
    <row r="221" spans="1:5" ht="16.5" customHeight="1">
      <c r="A221" s="124">
        <v>2100799</v>
      </c>
      <c r="B221" s="124" t="s">
        <v>514</v>
      </c>
      <c r="C221" s="125">
        <v>175</v>
      </c>
      <c r="D221" s="125">
        <v>123</v>
      </c>
      <c r="E221" s="127">
        <f t="shared" si="3"/>
        <v>142.28</v>
      </c>
    </row>
    <row r="222" spans="1:5" ht="16.5" customHeight="1">
      <c r="A222" s="124">
        <v>2101101</v>
      </c>
      <c r="B222" s="124" t="s">
        <v>515</v>
      </c>
      <c r="C222" s="125">
        <v>2801</v>
      </c>
      <c r="D222" s="125">
        <v>2634</v>
      </c>
      <c r="E222" s="127">
        <f t="shared" si="3"/>
        <v>106.34</v>
      </c>
    </row>
    <row r="223" spans="1:5" ht="16.5" customHeight="1">
      <c r="A223" s="124">
        <v>2101102</v>
      </c>
      <c r="B223" s="124" t="s">
        <v>516</v>
      </c>
      <c r="C223" s="125">
        <v>1180</v>
      </c>
      <c r="D223" s="125">
        <v>1170</v>
      </c>
      <c r="E223" s="127">
        <f t="shared" si="3"/>
        <v>100.85</v>
      </c>
    </row>
    <row r="224" spans="1:5" ht="16.5" customHeight="1">
      <c r="A224" s="124">
        <v>2101202</v>
      </c>
      <c r="B224" s="124" t="s">
        <v>517</v>
      </c>
      <c r="C224" s="125">
        <v>178</v>
      </c>
      <c r="D224" s="125">
        <v>380</v>
      </c>
      <c r="E224" s="127">
        <f t="shared" si="3"/>
        <v>46.84</v>
      </c>
    </row>
    <row r="225" spans="1:5" ht="16.5" customHeight="1">
      <c r="A225" s="124">
        <v>2101299</v>
      </c>
      <c r="B225" s="124" t="s">
        <v>626</v>
      </c>
      <c r="C225" s="125">
        <v>280</v>
      </c>
      <c r="D225" s="125">
        <v>120</v>
      </c>
      <c r="E225" s="127"/>
    </row>
    <row r="226" spans="1:5" ht="16.5" customHeight="1">
      <c r="A226" s="124">
        <v>2101301</v>
      </c>
      <c r="B226" s="124" t="s">
        <v>518</v>
      </c>
      <c r="C226" s="125"/>
      <c r="D226" s="125">
        <v>110</v>
      </c>
      <c r="E226" s="127">
        <f t="shared" si="3"/>
        <v>0</v>
      </c>
    </row>
    <row r="227" spans="1:5" ht="16.5" customHeight="1">
      <c r="A227" s="124">
        <v>2101302</v>
      </c>
      <c r="B227" s="124" t="s">
        <v>519</v>
      </c>
      <c r="C227" s="125"/>
      <c r="D227" s="125">
        <v>126</v>
      </c>
      <c r="E227" s="127">
        <f t="shared" si="3"/>
        <v>0</v>
      </c>
    </row>
    <row r="228" spans="1:5" ht="16.5" customHeight="1">
      <c r="A228" s="124">
        <v>2101501</v>
      </c>
      <c r="B228" s="124" t="s">
        <v>387</v>
      </c>
      <c r="C228" s="125">
        <v>743</v>
      </c>
      <c r="D228" s="125">
        <v>829</v>
      </c>
      <c r="E228" s="127">
        <f t="shared" si="3"/>
        <v>89.63</v>
      </c>
    </row>
    <row r="229" spans="1:5" ht="16.5" customHeight="1">
      <c r="A229" s="124">
        <v>2101550</v>
      </c>
      <c r="B229" s="124" t="s">
        <v>389</v>
      </c>
      <c r="C229" s="125">
        <v>2845</v>
      </c>
      <c r="D229" s="125">
        <v>2830</v>
      </c>
      <c r="E229" s="127">
        <f t="shared" si="3"/>
        <v>100.53</v>
      </c>
    </row>
    <row r="230" spans="1:5" ht="16.5" customHeight="1">
      <c r="A230" s="124">
        <v>2101599</v>
      </c>
      <c r="B230" s="124" t="s">
        <v>704</v>
      </c>
      <c r="C230" s="125">
        <v>659</v>
      </c>
      <c r="D230" s="125"/>
      <c r="E230" s="127"/>
    </row>
    <row r="231" spans="1:5" ht="16.5" customHeight="1">
      <c r="A231" s="124">
        <v>2109999</v>
      </c>
      <c r="B231" s="124" t="s">
        <v>520</v>
      </c>
      <c r="C231" s="125">
        <v>1230</v>
      </c>
      <c r="D231" s="125">
        <v>1102</v>
      </c>
      <c r="E231" s="127">
        <f t="shared" si="3"/>
        <v>111.62</v>
      </c>
    </row>
    <row r="232" spans="1:5" ht="16.5" customHeight="1">
      <c r="A232" s="193" t="s">
        <v>857</v>
      </c>
      <c r="B232" s="194" t="s">
        <v>521</v>
      </c>
      <c r="C232" s="126">
        <f>SUM(C233:C242)</f>
        <v>22406</v>
      </c>
      <c r="D232" s="126">
        <f>SUM(D233:D242)</f>
        <v>20121</v>
      </c>
      <c r="E232" s="127">
        <f t="shared" si="3"/>
        <v>111.36</v>
      </c>
    </row>
    <row r="233" spans="1:5" ht="16.5" customHeight="1">
      <c r="A233" s="124">
        <v>2110101</v>
      </c>
      <c r="B233" s="124" t="s">
        <v>387</v>
      </c>
      <c r="C233" s="125">
        <v>4248</v>
      </c>
      <c r="D233" s="125">
        <v>3989</v>
      </c>
      <c r="E233" s="127">
        <f t="shared" si="3"/>
        <v>106.49</v>
      </c>
    </row>
    <row r="234" spans="1:5" ht="16.5" customHeight="1">
      <c r="A234" s="124">
        <v>2110199</v>
      </c>
      <c r="B234" s="124" t="s">
        <v>522</v>
      </c>
      <c r="C234" s="125">
        <v>118</v>
      </c>
      <c r="D234" s="125">
        <v>143</v>
      </c>
      <c r="E234" s="127">
        <f t="shared" si="3"/>
        <v>82.52</v>
      </c>
    </row>
    <row r="235" spans="1:5" ht="16.5" customHeight="1">
      <c r="A235" s="124">
        <v>2110299</v>
      </c>
      <c r="B235" s="124" t="s">
        <v>523</v>
      </c>
      <c r="C235" s="125">
        <v>1905</v>
      </c>
      <c r="D235" s="125">
        <v>2933</v>
      </c>
      <c r="E235" s="127">
        <f t="shared" si="3"/>
        <v>64.95</v>
      </c>
    </row>
    <row r="236" spans="1:5" ht="16.5" customHeight="1">
      <c r="A236" s="124">
        <v>2110301</v>
      </c>
      <c r="B236" s="124" t="s">
        <v>705</v>
      </c>
      <c r="C236" s="125">
        <v>1843</v>
      </c>
      <c r="D236" s="125"/>
      <c r="E236" s="127"/>
    </row>
    <row r="237" spans="1:5" ht="16.5" customHeight="1">
      <c r="A237" s="124">
        <v>2110302</v>
      </c>
      <c r="B237" s="124" t="s">
        <v>524</v>
      </c>
      <c r="C237" s="125">
        <v>1332</v>
      </c>
      <c r="D237" s="125">
        <v>2038</v>
      </c>
      <c r="E237" s="127">
        <f t="shared" si="3"/>
        <v>65.36</v>
      </c>
    </row>
    <row r="238" spans="1:5" ht="16.5" customHeight="1">
      <c r="A238" s="124">
        <v>2110402</v>
      </c>
      <c r="B238" s="124" t="s">
        <v>525</v>
      </c>
      <c r="C238" s="125">
        <v>7806</v>
      </c>
      <c r="D238" s="125">
        <v>1207</v>
      </c>
      <c r="E238" s="127">
        <f t="shared" si="3"/>
        <v>646.73</v>
      </c>
    </row>
    <row r="239" spans="1:5" ht="16.5" customHeight="1">
      <c r="A239" s="124">
        <v>2110406</v>
      </c>
      <c r="B239" s="124" t="s">
        <v>627</v>
      </c>
      <c r="C239" s="125"/>
      <c r="D239" s="125">
        <v>1.44</v>
      </c>
      <c r="E239" s="127"/>
    </row>
    <row r="240" spans="1:5" ht="16.5" customHeight="1">
      <c r="A240" s="124">
        <v>2110507</v>
      </c>
      <c r="B240" s="124" t="s">
        <v>628</v>
      </c>
      <c r="C240" s="125"/>
      <c r="D240" s="125">
        <v>4000</v>
      </c>
      <c r="E240" s="127"/>
    </row>
    <row r="241" spans="1:5" ht="16.5" customHeight="1">
      <c r="A241" s="124">
        <v>2111001</v>
      </c>
      <c r="B241" s="124" t="s">
        <v>526</v>
      </c>
      <c r="C241" s="125">
        <v>2600</v>
      </c>
      <c r="D241" s="125">
        <v>3400</v>
      </c>
      <c r="E241" s="127">
        <f t="shared" si="3"/>
        <v>76.47</v>
      </c>
    </row>
    <row r="242" spans="1:5" ht="16.5" customHeight="1">
      <c r="A242" s="124">
        <v>2119999</v>
      </c>
      <c r="B242" s="124" t="s">
        <v>527</v>
      </c>
      <c r="C242" s="125">
        <v>2554</v>
      </c>
      <c r="D242" s="125">
        <v>2410</v>
      </c>
      <c r="E242" s="127">
        <f t="shared" si="3"/>
        <v>105.98</v>
      </c>
    </row>
    <row r="243" spans="1:5" ht="16.5" customHeight="1">
      <c r="A243" s="193" t="s">
        <v>858</v>
      </c>
      <c r="B243" s="194" t="s">
        <v>528</v>
      </c>
      <c r="C243" s="126">
        <f>SUM(C244:C254)</f>
        <v>4301</v>
      </c>
      <c r="D243" s="126">
        <f>SUM(D244:D254)</f>
        <v>5464</v>
      </c>
      <c r="E243" s="127">
        <f t="shared" si="3"/>
        <v>78.72</v>
      </c>
    </row>
    <row r="244" spans="1:5" ht="16.5" customHeight="1">
      <c r="A244" s="124">
        <v>2120101</v>
      </c>
      <c r="B244" s="124" t="s">
        <v>387</v>
      </c>
      <c r="C244" s="125">
        <v>611</v>
      </c>
      <c r="D244" s="125">
        <v>563</v>
      </c>
      <c r="E244" s="127">
        <f t="shared" si="3"/>
        <v>108.53</v>
      </c>
    </row>
    <row r="245" spans="1:5" ht="16.5" customHeight="1">
      <c r="A245" s="124">
        <v>2120104</v>
      </c>
      <c r="B245" s="124" t="s">
        <v>529</v>
      </c>
      <c r="C245" s="125">
        <v>650</v>
      </c>
      <c r="D245" s="125">
        <v>711</v>
      </c>
      <c r="E245" s="127">
        <f t="shared" si="3"/>
        <v>91.42</v>
      </c>
    </row>
    <row r="246" spans="1:5" ht="16.5" customHeight="1">
      <c r="A246" s="124">
        <v>2120105</v>
      </c>
      <c r="B246" s="124" t="s">
        <v>530</v>
      </c>
      <c r="C246" s="125">
        <v>131</v>
      </c>
      <c r="D246" s="125">
        <v>130</v>
      </c>
      <c r="E246" s="127">
        <f t="shared" si="3"/>
        <v>100.77</v>
      </c>
    </row>
    <row r="247" spans="1:5" ht="16.5" customHeight="1">
      <c r="A247" s="124">
        <v>2120106</v>
      </c>
      <c r="B247" s="124" t="s">
        <v>531</v>
      </c>
      <c r="C247" s="125">
        <v>388</v>
      </c>
      <c r="D247" s="125">
        <v>400</v>
      </c>
      <c r="E247" s="127">
        <f t="shared" si="3"/>
        <v>97</v>
      </c>
    </row>
    <row r="248" spans="1:5" ht="16.5" customHeight="1">
      <c r="A248" s="124">
        <v>2120107</v>
      </c>
      <c r="B248" s="124" t="s">
        <v>532</v>
      </c>
      <c r="C248" s="125">
        <v>44</v>
      </c>
      <c r="D248" s="125">
        <v>42</v>
      </c>
      <c r="E248" s="127">
        <f t="shared" si="3"/>
        <v>104.76</v>
      </c>
    </row>
    <row r="249" spans="1:5" ht="16.5" customHeight="1">
      <c r="A249" s="124">
        <v>2120109</v>
      </c>
      <c r="B249" s="124" t="s">
        <v>533</v>
      </c>
      <c r="C249" s="125">
        <v>313</v>
      </c>
      <c r="D249" s="125">
        <v>365</v>
      </c>
      <c r="E249" s="127">
        <f t="shared" si="3"/>
        <v>85.75</v>
      </c>
    </row>
    <row r="250" spans="1:5" ht="16.5" customHeight="1">
      <c r="A250" s="124">
        <v>2120199</v>
      </c>
      <c r="B250" s="124" t="s">
        <v>534</v>
      </c>
      <c r="C250" s="125">
        <v>208</v>
      </c>
      <c r="D250" s="125">
        <v>251</v>
      </c>
      <c r="E250" s="127">
        <f t="shared" si="3"/>
        <v>82.87</v>
      </c>
    </row>
    <row r="251" spans="1:5" ht="16.5" customHeight="1">
      <c r="A251" s="124">
        <v>2120201</v>
      </c>
      <c r="B251" s="124" t="s">
        <v>535</v>
      </c>
      <c r="C251" s="125">
        <v>1206</v>
      </c>
      <c r="D251" s="125">
        <v>1568</v>
      </c>
      <c r="E251" s="127">
        <f t="shared" si="3"/>
        <v>76.91</v>
      </c>
    </row>
    <row r="252" spans="1:5" ht="16.5" customHeight="1">
      <c r="A252" s="124">
        <v>2120399</v>
      </c>
      <c r="B252" s="124" t="s">
        <v>706</v>
      </c>
      <c r="C252" s="125">
        <v>239</v>
      </c>
      <c r="D252" s="125"/>
      <c r="E252" s="127"/>
    </row>
    <row r="253" spans="1:5" ht="16.5" customHeight="1">
      <c r="A253" s="124">
        <v>2120501</v>
      </c>
      <c r="B253" s="124" t="s">
        <v>536</v>
      </c>
      <c r="C253" s="125">
        <v>266</v>
      </c>
      <c r="D253" s="125">
        <v>1034</v>
      </c>
      <c r="E253" s="127">
        <f t="shared" si="3"/>
        <v>25.73</v>
      </c>
    </row>
    <row r="254" spans="1:5" ht="16.5" customHeight="1">
      <c r="A254" s="124">
        <v>2129999</v>
      </c>
      <c r="B254" s="124" t="s">
        <v>537</v>
      </c>
      <c r="C254" s="125">
        <v>245</v>
      </c>
      <c r="D254" s="125">
        <v>400</v>
      </c>
      <c r="E254" s="127">
        <f t="shared" si="3"/>
        <v>61.25</v>
      </c>
    </row>
    <row r="255" spans="1:5" ht="16.5" customHeight="1">
      <c r="A255" s="193" t="s">
        <v>859</v>
      </c>
      <c r="B255" s="194" t="s">
        <v>538</v>
      </c>
      <c r="C255" s="126">
        <f>SUM(C256:C288)</f>
        <v>52301</v>
      </c>
      <c r="D255" s="126">
        <f>SUM(D256:D288)</f>
        <v>64222</v>
      </c>
      <c r="E255" s="127">
        <f t="shared" si="3"/>
        <v>81.44</v>
      </c>
    </row>
    <row r="256" spans="1:5" ht="16.5" customHeight="1">
      <c r="A256" s="124">
        <v>2130101</v>
      </c>
      <c r="B256" s="124" t="s">
        <v>387</v>
      </c>
      <c r="C256" s="125">
        <v>3172</v>
      </c>
      <c r="D256" s="125">
        <v>3152</v>
      </c>
      <c r="E256" s="127">
        <f t="shared" si="3"/>
        <v>100.63</v>
      </c>
    </row>
    <row r="257" spans="1:5" ht="16.5" customHeight="1">
      <c r="A257" s="124">
        <v>2130102</v>
      </c>
      <c r="B257" s="124" t="s">
        <v>396</v>
      </c>
      <c r="C257" s="125"/>
      <c r="D257" s="125">
        <v>5</v>
      </c>
      <c r="E257" s="127">
        <f t="shared" si="3"/>
        <v>0</v>
      </c>
    </row>
    <row r="258" spans="1:5" ht="16.5" customHeight="1">
      <c r="A258" s="124">
        <v>2130104</v>
      </c>
      <c r="B258" s="124" t="s">
        <v>389</v>
      </c>
      <c r="C258" s="125">
        <v>322</v>
      </c>
      <c r="D258" s="125">
        <v>293</v>
      </c>
      <c r="E258" s="127">
        <f t="shared" si="3"/>
        <v>109.9</v>
      </c>
    </row>
    <row r="259" spans="1:5" ht="16.5" customHeight="1">
      <c r="A259" s="124">
        <v>2130106</v>
      </c>
      <c r="B259" s="124" t="s">
        <v>539</v>
      </c>
      <c r="C259" s="125">
        <v>20</v>
      </c>
      <c r="D259" s="125">
        <v>155</v>
      </c>
      <c r="E259" s="127">
        <f t="shared" si="3"/>
        <v>12.9</v>
      </c>
    </row>
    <row r="260" spans="1:5" ht="16.5" customHeight="1">
      <c r="A260" s="124">
        <v>2130108</v>
      </c>
      <c r="B260" s="124" t="s">
        <v>540</v>
      </c>
      <c r="C260" s="125"/>
      <c r="D260" s="125">
        <v>200</v>
      </c>
      <c r="E260" s="127">
        <f t="shared" si="3"/>
        <v>0</v>
      </c>
    </row>
    <row r="261" spans="1:5" ht="16.5" customHeight="1">
      <c r="A261" s="124">
        <v>2130109</v>
      </c>
      <c r="B261" s="124" t="s">
        <v>707</v>
      </c>
      <c r="C261" s="125">
        <v>160</v>
      </c>
      <c r="D261" s="125"/>
      <c r="E261" s="127"/>
    </row>
    <row r="262" spans="1:5" ht="16.5" customHeight="1">
      <c r="A262" s="124">
        <v>2130124</v>
      </c>
      <c r="B262" s="124" t="s">
        <v>629</v>
      </c>
      <c r="C262" s="125"/>
      <c r="D262" s="125">
        <v>1300</v>
      </c>
      <c r="E262" s="127"/>
    </row>
    <row r="263" spans="1:5" ht="16.5" customHeight="1">
      <c r="A263" s="124">
        <v>2130135</v>
      </c>
      <c r="B263" s="124" t="s">
        <v>630</v>
      </c>
      <c r="C263" s="125"/>
      <c r="D263" s="125">
        <v>439</v>
      </c>
      <c r="E263" s="127"/>
    </row>
    <row r="264" spans="1:5" ht="16.5" customHeight="1">
      <c r="A264" s="124">
        <v>2130148</v>
      </c>
      <c r="B264" s="124" t="s">
        <v>708</v>
      </c>
      <c r="C264" s="125">
        <v>139</v>
      </c>
      <c r="D264" s="125"/>
      <c r="E264" s="127"/>
    </row>
    <row r="265" spans="1:5" ht="16.5" customHeight="1">
      <c r="A265" s="124">
        <v>2130152</v>
      </c>
      <c r="B265" s="124" t="s">
        <v>541</v>
      </c>
      <c r="C265" s="125">
        <v>76</v>
      </c>
      <c r="D265" s="125">
        <v>55</v>
      </c>
      <c r="E265" s="127">
        <f t="shared" si="3"/>
        <v>138.18</v>
      </c>
    </row>
    <row r="266" spans="1:5" ht="16.5" customHeight="1">
      <c r="A266" s="124">
        <v>2130199</v>
      </c>
      <c r="B266" s="124" t="s">
        <v>542</v>
      </c>
      <c r="C266" s="125">
        <v>497</v>
      </c>
      <c r="D266" s="125">
        <v>3382</v>
      </c>
      <c r="E266" s="127">
        <f t="shared" si="3"/>
        <v>14.7</v>
      </c>
    </row>
    <row r="267" spans="1:5" ht="16.5" customHeight="1">
      <c r="A267" s="124">
        <v>2130201</v>
      </c>
      <c r="B267" s="124" t="s">
        <v>387</v>
      </c>
      <c r="C267" s="125">
        <v>1461</v>
      </c>
      <c r="D267" s="125">
        <v>1020</v>
      </c>
      <c r="E267" s="127">
        <f t="shared" si="3"/>
        <v>143.24</v>
      </c>
    </row>
    <row r="268" spans="1:5" ht="16.5" customHeight="1">
      <c r="A268" s="124">
        <v>2130204</v>
      </c>
      <c r="B268" s="124" t="s">
        <v>543</v>
      </c>
      <c r="C268" s="125">
        <v>965</v>
      </c>
      <c r="D268" s="125">
        <v>1210</v>
      </c>
      <c r="E268" s="127">
        <f t="shared" si="3"/>
        <v>79.75</v>
      </c>
    </row>
    <row r="269" spans="1:5" ht="16.5" customHeight="1">
      <c r="A269" s="124">
        <v>2130205</v>
      </c>
      <c r="B269" s="124" t="s">
        <v>544</v>
      </c>
      <c r="C269" s="125">
        <v>2856</v>
      </c>
      <c r="D269" s="125">
        <v>10728</v>
      </c>
      <c r="E269" s="127">
        <f t="shared" si="3"/>
        <v>26.62</v>
      </c>
    </row>
    <row r="270" spans="1:5" ht="16.5" customHeight="1">
      <c r="A270" s="124">
        <v>2130206</v>
      </c>
      <c r="B270" s="124" t="s">
        <v>545</v>
      </c>
      <c r="C270" s="125"/>
      <c r="D270" s="125">
        <v>78</v>
      </c>
      <c r="E270" s="127">
        <f t="shared" si="3"/>
        <v>0</v>
      </c>
    </row>
    <row r="271" spans="1:5" ht="16.5" customHeight="1">
      <c r="A271" s="124">
        <v>2130207</v>
      </c>
      <c r="B271" s="124" t="s">
        <v>546</v>
      </c>
      <c r="C271" s="125"/>
      <c r="D271" s="125">
        <v>58</v>
      </c>
      <c r="E271" s="127">
        <f t="shared" si="3"/>
        <v>0</v>
      </c>
    </row>
    <row r="272" spans="1:5" ht="16.5" customHeight="1">
      <c r="A272" s="124">
        <v>2130209</v>
      </c>
      <c r="B272" s="124" t="s">
        <v>631</v>
      </c>
      <c r="C272" s="125"/>
      <c r="D272" s="125">
        <v>14689.72</v>
      </c>
      <c r="E272" s="127"/>
    </row>
    <row r="273" spans="1:5" ht="16.5" customHeight="1">
      <c r="A273" s="124">
        <v>2130234</v>
      </c>
      <c r="B273" s="124" t="s">
        <v>547</v>
      </c>
      <c r="C273" s="125"/>
      <c r="D273" s="125">
        <v>168</v>
      </c>
      <c r="E273" s="127">
        <f t="shared" si="3"/>
        <v>0</v>
      </c>
    </row>
    <row r="274" spans="1:5" ht="16.5" customHeight="1">
      <c r="A274" s="124">
        <v>2130237</v>
      </c>
      <c r="B274" s="124" t="s">
        <v>548</v>
      </c>
      <c r="C274" s="125"/>
      <c r="D274" s="125">
        <v>188</v>
      </c>
      <c r="E274" s="127">
        <f t="shared" si="3"/>
        <v>0</v>
      </c>
    </row>
    <row r="275" spans="1:5" ht="16.5" customHeight="1">
      <c r="A275" s="124">
        <v>2130299</v>
      </c>
      <c r="B275" s="124" t="s">
        <v>549</v>
      </c>
      <c r="C275" s="125">
        <v>19496</v>
      </c>
      <c r="D275" s="125">
        <v>13195</v>
      </c>
      <c r="E275" s="127">
        <f t="shared" si="3"/>
        <v>147.75</v>
      </c>
    </row>
    <row r="276" spans="1:5" ht="16.5" customHeight="1">
      <c r="A276" s="124">
        <v>2130301</v>
      </c>
      <c r="B276" s="124" t="s">
        <v>387</v>
      </c>
      <c r="C276" s="125">
        <v>1324</v>
      </c>
      <c r="D276" s="125">
        <v>1284</v>
      </c>
      <c r="E276" s="127">
        <f t="shared" si="3"/>
        <v>103.12</v>
      </c>
    </row>
    <row r="277" spans="1:5" ht="16.5" customHeight="1">
      <c r="A277" s="124">
        <v>2130302</v>
      </c>
      <c r="B277" s="124" t="s">
        <v>396</v>
      </c>
      <c r="C277" s="125"/>
      <c r="D277" s="125">
        <v>36</v>
      </c>
      <c r="E277" s="127">
        <f t="shared" si="3"/>
        <v>0</v>
      </c>
    </row>
    <row r="278" spans="1:5" ht="16.5" customHeight="1">
      <c r="A278" s="124">
        <v>2130310</v>
      </c>
      <c r="B278" s="124" t="s">
        <v>632</v>
      </c>
      <c r="C278" s="125"/>
      <c r="D278" s="125">
        <v>300</v>
      </c>
      <c r="E278" s="127"/>
    </row>
    <row r="279" spans="1:5" ht="16.5" customHeight="1">
      <c r="A279" s="124">
        <v>2130311</v>
      </c>
      <c r="B279" s="124" t="s">
        <v>550</v>
      </c>
      <c r="C279" s="125"/>
      <c r="D279" s="125">
        <v>119</v>
      </c>
      <c r="E279" s="127">
        <f t="shared" si="3"/>
        <v>0</v>
      </c>
    </row>
    <row r="280" spans="1:5" ht="16.5" customHeight="1">
      <c r="A280" s="124">
        <v>2130312</v>
      </c>
      <c r="B280" s="124" t="s">
        <v>551</v>
      </c>
      <c r="C280" s="125">
        <v>14</v>
      </c>
      <c r="D280" s="125">
        <v>14</v>
      </c>
      <c r="E280" s="127">
        <f t="shared" si="3"/>
        <v>100</v>
      </c>
    </row>
    <row r="281" spans="1:5" ht="16.5" customHeight="1">
      <c r="A281" s="124">
        <v>2130313</v>
      </c>
      <c r="B281" s="124" t="s">
        <v>552</v>
      </c>
      <c r="C281" s="125">
        <v>39</v>
      </c>
      <c r="D281" s="125">
        <v>40</v>
      </c>
      <c r="E281" s="127">
        <f t="shared" ref="E281:E351" si="4">IF(D281=0,0,C281*100/D281)</f>
        <v>97.5</v>
      </c>
    </row>
    <row r="282" spans="1:5" ht="16.5" customHeight="1">
      <c r="A282" s="124">
        <v>2130314</v>
      </c>
      <c r="B282" s="124" t="s">
        <v>633</v>
      </c>
      <c r="C282" s="125">
        <v>495</v>
      </c>
      <c r="D282" s="125">
        <v>288</v>
      </c>
      <c r="E282" s="127"/>
    </row>
    <row r="283" spans="1:5" ht="16.5" customHeight="1">
      <c r="A283" s="124">
        <v>2130321</v>
      </c>
      <c r="B283" s="124" t="s">
        <v>553</v>
      </c>
      <c r="C283" s="125">
        <v>17</v>
      </c>
      <c r="D283" s="125">
        <v>17</v>
      </c>
      <c r="E283" s="127">
        <f t="shared" si="4"/>
        <v>100</v>
      </c>
    </row>
    <row r="284" spans="1:5" ht="16.5" customHeight="1">
      <c r="A284" s="124">
        <v>2130399</v>
      </c>
      <c r="B284" s="124" t="s">
        <v>554</v>
      </c>
      <c r="C284" s="125">
        <v>5428</v>
      </c>
      <c r="D284" s="125">
        <v>4449</v>
      </c>
      <c r="E284" s="127">
        <f t="shared" si="4"/>
        <v>122</v>
      </c>
    </row>
    <row r="285" spans="1:5" ht="16.5" customHeight="1">
      <c r="A285" s="124">
        <v>2130504</v>
      </c>
      <c r="B285" s="124" t="s">
        <v>555</v>
      </c>
      <c r="C285" s="125">
        <v>3890</v>
      </c>
      <c r="D285" s="125">
        <v>3383</v>
      </c>
      <c r="E285" s="127">
        <f t="shared" si="4"/>
        <v>114.99</v>
      </c>
    </row>
    <row r="286" spans="1:5" ht="16.5" customHeight="1">
      <c r="A286" s="124">
        <v>2130599</v>
      </c>
      <c r="B286" s="124" t="s">
        <v>659</v>
      </c>
      <c r="C286" s="125">
        <v>7360</v>
      </c>
      <c r="D286" s="125">
        <v>2476</v>
      </c>
      <c r="E286" s="127">
        <f t="shared" si="4"/>
        <v>297.25</v>
      </c>
    </row>
    <row r="287" spans="1:5" ht="16.5" customHeight="1">
      <c r="A287" s="124">
        <v>2130803</v>
      </c>
      <c r="B287" s="124" t="s">
        <v>709</v>
      </c>
      <c r="C287" s="125">
        <v>2290</v>
      </c>
      <c r="D287" s="125"/>
      <c r="E287" s="127"/>
    </row>
    <row r="288" spans="1:5" ht="16.5" customHeight="1">
      <c r="A288" s="124">
        <v>2130899</v>
      </c>
      <c r="B288" s="124" t="s">
        <v>556</v>
      </c>
      <c r="C288" s="125">
        <v>2280</v>
      </c>
      <c r="D288" s="125">
        <v>1500</v>
      </c>
      <c r="E288" s="127">
        <f t="shared" si="4"/>
        <v>152</v>
      </c>
    </row>
    <row r="289" spans="1:5" ht="16.5" customHeight="1">
      <c r="A289" s="193" t="s">
        <v>860</v>
      </c>
      <c r="B289" s="194" t="s">
        <v>557</v>
      </c>
      <c r="C289" s="126">
        <f>SUM(C290:C302)</f>
        <v>27082</v>
      </c>
      <c r="D289" s="126">
        <f>SUM(D290:D302)</f>
        <v>33082</v>
      </c>
      <c r="E289" s="127">
        <f t="shared" si="4"/>
        <v>81.86</v>
      </c>
    </row>
    <row r="290" spans="1:5" ht="16.5" customHeight="1">
      <c r="A290" s="124">
        <v>2140101</v>
      </c>
      <c r="B290" s="124" t="s">
        <v>387</v>
      </c>
      <c r="C290" s="125">
        <v>1540</v>
      </c>
      <c r="D290" s="125">
        <v>2180</v>
      </c>
      <c r="E290" s="127">
        <f t="shared" si="4"/>
        <v>70.64</v>
      </c>
    </row>
    <row r="291" spans="1:5" ht="16.5" customHeight="1">
      <c r="A291" s="124">
        <v>2140104</v>
      </c>
      <c r="B291" s="124" t="s">
        <v>558</v>
      </c>
      <c r="C291" s="125"/>
      <c r="D291" s="125">
        <v>500</v>
      </c>
      <c r="E291" s="127">
        <f t="shared" si="4"/>
        <v>0</v>
      </c>
    </row>
    <row r="292" spans="1:5" ht="16.5" customHeight="1">
      <c r="A292" s="124">
        <v>2140106</v>
      </c>
      <c r="B292" s="124" t="s">
        <v>559</v>
      </c>
      <c r="C292" s="125">
        <v>10782</v>
      </c>
      <c r="D292" s="125">
        <v>8382</v>
      </c>
      <c r="E292" s="127">
        <f t="shared" si="4"/>
        <v>128.63</v>
      </c>
    </row>
    <row r="293" spans="1:5" ht="16.5" customHeight="1">
      <c r="A293" s="124">
        <v>2140112</v>
      </c>
      <c r="B293" s="124" t="s">
        <v>710</v>
      </c>
      <c r="C293" s="125">
        <v>964</v>
      </c>
      <c r="D293" s="125"/>
      <c r="E293" s="127"/>
    </row>
    <row r="294" spans="1:5" ht="16.5" customHeight="1">
      <c r="A294" s="124">
        <v>2140199</v>
      </c>
      <c r="B294" s="124" t="s">
        <v>560</v>
      </c>
      <c r="C294" s="125">
        <v>12429</v>
      </c>
      <c r="D294" s="125">
        <v>8845</v>
      </c>
      <c r="E294" s="127">
        <f t="shared" si="4"/>
        <v>140.52000000000001</v>
      </c>
    </row>
    <row r="295" spans="1:5" ht="16.5" customHeight="1">
      <c r="A295" s="124">
        <v>2140201</v>
      </c>
      <c r="B295" s="124" t="s">
        <v>387</v>
      </c>
      <c r="C295" s="125">
        <v>171</v>
      </c>
      <c r="D295" s="125">
        <v>177</v>
      </c>
      <c r="E295" s="127">
        <f t="shared" si="4"/>
        <v>96.61</v>
      </c>
    </row>
    <row r="296" spans="1:5" ht="16.5" customHeight="1">
      <c r="A296" s="124">
        <v>2140299</v>
      </c>
      <c r="B296" s="124" t="s">
        <v>561</v>
      </c>
      <c r="C296" s="125">
        <v>62</v>
      </c>
      <c r="D296" s="125">
        <v>302</v>
      </c>
      <c r="E296" s="127">
        <f t="shared" si="4"/>
        <v>20.53</v>
      </c>
    </row>
    <row r="297" spans="1:5" ht="16.5" customHeight="1">
      <c r="A297" s="124">
        <v>2140399</v>
      </c>
      <c r="B297" s="124" t="s">
        <v>562</v>
      </c>
      <c r="C297" s="125"/>
      <c r="D297" s="125">
        <v>3000</v>
      </c>
      <c r="E297" s="127">
        <f t="shared" si="4"/>
        <v>0</v>
      </c>
    </row>
    <row r="298" spans="1:5" ht="16.5" customHeight="1">
      <c r="A298" s="124">
        <v>2140501</v>
      </c>
      <c r="B298" s="124" t="s">
        <v>634</v>
      </c>
      <c r="C298" s="125"/>
      <c r="D298" s="125">
        <v>15.06</v>
      </c>
      <c r="E298" s="127"/>
    </row>
    <row r="299" spans="1:5" ht="16.5" customHeight="1">
      <c r="A299" s="124">
        <v>2140504</v>
      </c>
      <c r="B299" s="124" t="s">
        <v>635</v>
      </c>
      <c r="C299" s="125">
        <v>34</v>
      </c>
      <c r="D299" s="125"/>
      <c r="E299" s="127"/>
    </row>
    <row r="300" spans="1:5" ht="16.5" customHeight="1">
      <c r="A300" s="124">
        <v>2140601</v>
      </c>
      <c r="B300" s="124" t="s">
        <v>563</v>
      </c>
      <c r="C300" s="125"/>
      <c r="D300" s="125">
        <v>6231</v>
      </c>
      <c r="E300" s="127">
        <f t="shared" si="4"/>
        <v>0</v>
      </c>
    </row>
    <row r="301" spans="1:5" ht="16.5" customHeight="1">
      <c r="A301" s="124">
        <v>2149901</v>
      </c>
      <c r="B301" s="124" t="s">
        <v>711</v>
      </c>
      <c r="C301" s="125">
        <v>1100</v>
      </c>
      <c r="D301" s="125"/>
      <c r="E301" s="127"/>
    </row>
    <row r="302" spans="1:5" ht="16.5" customHeight="1">
      <c r="A302" s="124">
        <v>2149999</v>
      </c>
      <c r="B302" s="124" t="s">
        <v>564</v>
      </c>
      <c r="C302" s="125"/>
      <c r="D302" s="125">
        <v>3450</v>
      </c>
      <c r="E302" s="127">
        <f t="shared" si="4"/>
        <v>0</v>
      </c>
    </row>
    <row r="303" spans="1:5" ht="16.5" customHeight="1">
      <c r="A303" s="193" t="s">
        <v>861</v>
      </c>
      <c r="B303" s="194" t="s">
        <v>565</v>
      </c>
      <c r="C303" s="126">
        <f>SUM(C304:C309)</f>
        <v>14509</v>
      </c>
      <c r="D303" s="126">
        <f>SUM(D304:D309)</f>
        <v>17167</v>
      </c>
      <c r="E303" s="127">
        <f t="shared" si="4"/>
        <v>84.52</v>
      </c>
    </row>
    <row r="304" spans="1:5" ht="16.5" customHeight="1">
      <c r="A304" s="124">
        <v>2150299</v>
      </c>
      <c r="B304" s="124" t="s">
        <v>566</v>
      </c>
      <c r="C304" s="125"/>
      <c r="D304" s="125">
        <v>4050</v>
      </c>
      <c r="E304" s="127">
        <f t="shared" si="4"/>
        <v>0</v>
      </c>
    </row>
    <row r="305" spans="1:5" ht="16.5" customHeight="1">
      <c r="A305" s="124">
        <v>2150701</v>
      </c>
      <c r="B305" s="124" t="s">
        <v>387</v>
      </c>
      <c r="C305" s="125">
        <v>425</v>
      </c>
      <c r="D305" s="125">
        <v>449</v>
      </c>
      <c r="E305" s="127">
        <f t="shared" si="4"/>
        <v>94.65</v>
      </c>
    </row>
    <row r="306" spans="1:5" ht="16.5" customHeight="1">
      <c r="A306" s="124">
        <v>2150805</v>
      </c>
      <c r="B306" s="124" t="s">
        <v>567</v>
      </c>
      <c r="C306" s="125">
        <v>1572</v>
      </c>
      <c r="D306" s="125">
        <v>3597</v>
      </c>
      <c r="E306" s="127">
        <f t="shared" si="4"/>
        <v>43.7</v>
      </c>
    </row>
    <row r="307" spans="1:5" ht="16.5" customHeight="1">
      <c r="A307" s="124">
        <v>2150899</v>
      </c>
      <c r="B307" s="124" t="s">
        <v>712</v>
      </c>
      <c r="C307" s="125">
        <v>1781</v>
      </c>
      <c r="D307" s="125"/>
      <c r="E307" s="127"/>
    </row>
    <row r="308" spans="1:5" ht="16.5" customHeight="1">
      <c r="A308" s="124">
        <v>2159904</v>
      </c>
      <c r="B308" s="124" t="s">
        <v>568</v>
      </c>
      <c r="C308" s="125">
        <v>2500</v>
      </c>
      <c r="D308" s="125">
        <v>6300</v>
      </c>
      <c r="E308" s="127">
        <f t="shared" si="4"/>
        <v>39.68</v>
      </c>
    </row>
    <row r="309" spans="1:5" ht="16.5" customHeight="1">
      <c r="A309" s="124">
        <v>2159999</v>
      </c>
      <c r="B309" s="124" t="s">
        <v>569</v>
      </c>
      <c r="C309" s="125">
        <v>8231</v>
      </c>
      <c r="D309" s="125">
        <v>2771</v>
      </c>
      <c r="E309" s="127">
        <f t="shared" si="4"/>
        <v>297.04000000000002</v>
      </c>
    </row>
    <row r="310" spans="1:5" ht="16.5" customHeight="1">
      <c r="A310" s="193" t="s">
        <v>862</v>
      </c>
      <c r="B310" s="194" t="s">
        <v>570</v>
      </c>
      <c r="C310" s="126">
        <f>SUM(C311:C319)</f>
        <v>5343</v>
      </c>
      <c r="D310" s="126">
        <f>SUM(D311:D319)</f>
        <v>5304</v>
      </c>
      <c r="E310" s="127">
        <f t="shared" si="4"/>
        <v>100.74</v>
      </c>
    </row>
    <row r="311" spans="1:5" ht="16.5" customHeight="1">
      <c r="A311" s="124">
        <v>2160201</v>
      </c>
      <c r="B311" s="124" t="s">
        <v>387</v>
      </c>
      <c r="C311" s="125">
        <v>307</v>
      </c>
      <c r="D311" s="125">
        <v>438</v>
      </c>
      <c r="E311" s="127">
        <f t="shared" si="4"/>
        <v>70.09</v>
      </c>
    </row>
    <row r="312" spans="1:5" ht="16.5" customHeight="1">
      <c r="A312" s="124">
        <v>2160202</v>
      </c>
      <c r="B312" s="124" t="s">
        <v>396</v>
      </c>
      <c r="C312" s="125"/>
      <c r="D312" s="125">
        <v>2</v>
      </c>
      <c r="E312" s="127">
        <f t="shared" si="4"/>
        <v>0</v>
      </c>
    </row>
    <row r="313" spans="1:5" ht="16.5" customHeight="1">
      <c r="A313" s="124">
        <v>2160299</v>
      </c>
      <c r="B313" s="124" t="s">
        <v>571</v>
      </c>
      <c r="C313" s="125">
        <v>100</v>
      </c>
      <c r="D313" s="125"/>
      <c r="E313" s="127">
        <f t="shared" si="4"/>
        <v>0</v>
      </c>
    </row>
    <row r="314" spans="1:5" ht="16.5" customHeight="1">
      <c r="A314" s="124">
        <v>2160601</v>
      </c>
      <c r="B314" s="124" t="s">
        <v>387</v>
      </c>
      <c r="C314" s="125">
        <v>288</v>
      </c>
      <c r="D314" s="125">
        <v>211</v>
      </c>
      <c r="E314" s="127">
        <f t="shared" si="4"/>
        <v>136.49</v>
      </c>
    </row>
    <row r="315" spans="1:5" ht="16.5" customHeight="1">
      <c r="A315" s="124">
        <v>2160602</v>
      </c>
      <c r="B315" s="124" t="s">
        <v>396</v>
      </c>
      <c r="C315" s="125">
        <v>11</v>
      </c>
      <c r="D315" s="125"/>
      <c r="E315" s="127"/>
    </row>
    <row r="316" spans="1:5" ht="16.5" customHeight="1">
      <c r="A316" s="124">
        <v>2160603</v>
      </c>
      <c r="B316" s="124" t="s">
        <v>388</v>
      </c>
      <c r="C316" s="125">
        <v>58</v>
      </c>
      <c r="D316" s="125">
        <v>79</v>
      </c>
      <c r="E316" s="127">
        <f t="shared" si="4"/>
        <v>73.42</v>
      </c>
    </row>
    <row r="317" spans="1:5" ht="16.5" customHeight="1">
      <c r="A317" s="124">
        <v>2160699</v>
      </c>
      <c r="B317" s="124" t="s">
        <v>572</v>
      </c>
      <c r="C317" s="125">
        <v>1720</v>
      </c>
      <c r="D317" s="125">
        <v>246</v>
      </c>
      <c r="E317" s="127">
        <f t="shared" si="4"/>
        <v>699.19</v>
      </c>
    </row>
    <row r="318" spans="1:5" ht="16.5" customHeight="1">
      <c r="A318" s="124">
        <v>2169901</v>
      </c>
      <c r="B318" s="124" t="s">
        <v>573</v>
      </c>
      <c r="C318" s="125"/>
      <c r="D318" s="125">
        <v>380</v>
      </c>
      <c r="E318" s="127">
        <f t="shared" si="4"/>
        <v>0</v>
      </c>
    </row>
    <row r="319" spans="1:5" ht="16.5" customHeight="1">
      <c r="A319" s="124">
        <v>2169999</v>
      </c>
      <c r="B319" s="124" t="s">
        <v>574</v>
      </c>
      <c r="C319" s="125">
        <v>2859</v>
      </c>
      <c r="D319" s="125">
        <v>3948</v>
      </c>
      <c r="E319" s="127">
        <f t="shared" si="4"/>
        <v>72.42</v>
      </c>
    </row>
    <row r="320" spans="1:5" ht="16.5" customHeight="1">
      <c r="A320" s="193" t="s">
        <v>863</v>
      </c>
      <c r="B320" s="194" t="s">
        <v>575</v>
      </c>
      <c r="C320" s="126">
        <f>SUM(C321:C322)</f>
        <v>300</v>
      </c>
      <c r="D320" s="126">
        <f>SUM(D321:D322)</f>
        <v>272</v>
      </c>
      <c r="E320" s="127">
        <f t="shared" si="4"/>
        <v>110.29</v>
      </c>
    </row>
    <row r="321" spans="1:5" ht="16.5" customHeight="1">
      <c r="A321" s="124">
        <v>2170101</v>
      </c>
      <c r="B321" s="124" t="s">
        <v>387</v>
      </c>
      <c r="C321" s="125">
        <v>208</v>
      </c>
      <c r="D321" s="125">
        <v>211.74</v>
      </c>
      <c r="E321" s="127">
        <f t="shared" si="4"/>
        <v>98.23</v>
      </c>
    </row>
    <row r="322" spans="1:5" ht="16.5" customHeight="1">
      <c r="A322" s="124">
        <v>2179999</v>
      </c>
      <c r="B322" s="124" t="s">
        <v>576</v>
      </c>
      <c r="C322" s="125">
        <v>92</v>
      </c>
      <c r="D322" s="125">
        <v>60</v>
      </c>
      <c r="E322" s="127">
        <f t="shared" si="4"/>
        <v>153.33000000000001</v>
      </c>
    </row>
    <row r="323" spans="1:5" ht="16.5" customHeight="1">
      <c r="A323" s="193" t="s">
        <v>864</v>
      </c>
      <c r="B323" s="194" t="s">
        <v>195</v>
      </c>
      <c r="C323" s="125">
        <v>605</v>
      </c>
      <c r="D323" s="126">
        <v>605</v>
      </c>
      <c r="E323" s="127">
        <f t="shared" si="4"/>
        <v>100</v>
      </c>
    </row>
    <row r="324" spans="1:5" ht="16.5" customHeight="1">
      <c r="A324" s="193" t="s">
        <v>865</v>
      </c>
      <c r="B324" s="194" t="s">
        <v>577</v>
      </c>
      <c r="C324" s="126">
        <f>SUM(C325:C333)</f>
        <v>3160</v>
      </c>
      <c r="D324" s="126">
        <f>SUM(D325:D333)</f>
        <v>2961</v>
      </c>
      <c r="E324" s="127">
        <f t="shared" si="4"/>
        <v>106.72</v>
      </c>
    </row>
    <row r="325" spans="1:5" ht="16.5" customHeight="1">
      <c r="A325" s="124">
        <v>2200101</v>
      </c>
      <c r="B325" s="124" t="s">
        <v>387</v>
      </c>
      <c r="C325" s="125">
        <v>1159</v>
      </c>
      <c r="D325" s="125">
        <v>1507</v>
      </c>
      <c r="E325" s="127">
        <f t="shared" si="4"/>
        <v>76.91</v>
      </c>
    </row>
    <row r="326" spans="1:5" ht="16.5" customHeight="1">
      <c r="A326" s="124">
        <v>2200103</v>
      </c>
      <c r="B326" s="124" t="s">
        <v>636</v>
      </c>
      <c r="C326" s="125">
        <v>12</v>
      </c>
      <c r="D326" s="125">
        <v>15.45</v>
      </c>
      <c r="E326" s="127"/>
    </row>
    <row r="327" spans="1:5" ht="16.5" customHeight="1">
      <c r="A327" s="124">
        <v>2200104</v>
      </c>
      <c r="B327" s="124" t="s">
        <v>578</v>
      </c>
      <c r="C327" s="125">
        <v>873</v>
      </c>
      <c r="D327" s="125">
        <v>1092</v>
      </c>
      <c r="E327" s="127">
        <f t="shared" si="4"/>
        <v>79.95</v>
      </c>
    </row>
    <row r="328" spans="1:5" ht="16.5" customHeight="1">
      <c r="A328" s="124">
        <v>2200106</v>
      </c>
      <c r="B328" s="124" t="s">
        <v>713</v>
      </c>
      <c r="C328" s="125">
        <v>200</v>
      </c>
      <c r="D328" s="125"/>
      <c r="E328" s="127"/>
    </row>
    <row r="329" spans="1:5" ht="16.5" customHeight="1">
      <c r="A329" s="124">
        <v>2200108</v>
      </c>
      <c r="B329" s="124" t="s">
        <v>714</v>
      </c>
      <c r="C329" s="125">
        <v>188</v>
      </c>
      <c r="D329" s="125"/>
      <c r="E329" s="127"/>
    </row>
    <row r="330" spans="1:5" ht="16.5" customHeight="1">
      <c r="A330" s="124">
        <v>2200150</v>
      </c>
      <c r="B330" s="124" t="s">
        <v>637</v>
      </c>
      <c r="C330" s="125">
        <v>465</v>
      </c>
      <c r="D330" s="125">
        <v>3.2</v>
      </c>
      <c r="E330" s="127"/>
    </row>
    <row r="331" spans="1:5" ht="16.5" customHeight="1">
      <c r="A331" s="124">
        <v>2200501</v>
      </c>
      <c r="B331" s="124" t="s">
        <v>387</v>
      </c>
      <c r="C331" s="125">
        <v>186</v>
      </c>
      <c r="D331" s="125">
        <v>186</v>
      </c>
      <c r="E331" s="127">
        <f t="shared" si="4"/>
        <v>100</v>
      </c>
    </row>
    <row r="332" spans="1:5" ht="16.5" customHeight="1">
      <c r="A332" s="124">
        <v>2200502</v>
      </c>
      <c r="B332" s="124" t="s">
        <v>396</v>
      </c>
      <c r="C332" s="125"/>
      <c r="D332" s="125">
        <v>80</v>
      </c>
      <c r="E332" s="127">
        <f t="shared" si="4"/>
        <v>0</v>
      </c>
    </row>
    <row r="333" spans="1:5" ht="16.5" customHeight="1">
      <c r="A333" s="124">
        <v>2200510</v>
      </c>
      <c r="B333" s="124" t="s">
        <v>579</v>
      </c>
      <c r="C333" s="125">
        <v>77</v>
      </c>
      <c r="D333" s="125">
        <v>77</v>
      </c>
      <c r="E333" s="127">
        <f t="shared" si="4"/>
        <v>100</v>
      </c>
    </row>
    <row r="334" spans="1:5" ht="16.5" customHeight="1">
      <c r="A334" s="193" t="s">
        <v>866</v>
      </c>
      <c r="B334" s="194" t="s">
        <v>580</v>
      </c>
      <c r="C334" s="126">
        <f>SUM(C335:C338)</f>
        <v>4515</v>
      </c>
      <c r="D334" s="126">
        <f>SUM(D335:D338)</f>
        <v>4470</v>
      </c>
      <c r="E334" s="127">
        <f t="shared" si="4"/>
        <v>101.01</v>
      </c>
    </row>
    <row r="335" spans="1:5" ht="16.5" customHeight="1">
      <c r="A335" s="211">
        <v>2210106</v>
      </c>
      <c r="B335" s="124" t="s">
        <v>715</v>
      </c>
      <c r="C335" s="126">
        <v>2850</v>
      </c>
      <c r="D335" s="126"/>
      <c r="E335" s="127"/>
    </row>
    <row r="336" spans="1:5" ht="16.5" customHeight="1">
      <c r="A336" s="124">
        <v>2210199</v>
      </c>
      <c r="B336" s="124" t="s">
        <v>581</v>
      </c>
      <c r="C336" s="125"/>
      <c r="D336" s="125">
        <v>2780</v>
      </c>
      <c r="E336" s="127">
        <f t="shared" si="4"/>
        <v>0</v>
      </c>
    </row>
    <row r="337" spans="1:5" ht="16.5" customHeight="1">
      <c r="A337" s="124">
        <v>2210201</v>
      </c>
      <c r="B337" s="124" t="s">
        <v>156</v>
      </c>
      <c r="C337" s="125">
        <v>398</v>
      </c>
      <c r="D337" s="125">
        <v>264.76</v>
      </c>
      <c r="E337" s="127">
        <f t="shared" si="4"/>
        <v>150.32</v>
      </c>
    </row>
    <row r="338" spans="1:5" ht="16.5" customHeight="1">
      <c r="A338" s="124">
        <v>2210302</v>
      </c>
      <c r="B338" s="124" t="s">
        <v>582</v>
      </c>
      <c r="C338" s="125">
        <v>1267</v>
      </c>
      <c r="D338" s="125">
        <v>1424.75</v>
      </c>
      <c r="E338" s="127">
        <f t="shared" si="4"/>
        <v>88.93</v>
      </c>
    </row>
    <row r="339" spans="1:5" ht="16.5" customHeight="1">
      <c r="A339" s="193" t="s">
        <v>867</v>
      </c>
      <c r="B339" s="194" t="s">
        <v>583</v>
      </c>
      <c r="C339" s="126">
        <f>SUM(C340:C343)</f>
        <v>1832</v>
      </c>
      <c r="D339" s="126">
        <f>SUM(D340:D343)</f>
        <v>3198</v>
      </c>
      <c r="E339" s="127">
        <f t="shared" si="4"/>
        <v>57.29</v>
      </c>
    </row>
    <row r="340" spans="1:5" ht="16.5" customHeight="1">
      <c r="A340" s="124">
        <v>2220101</v>
      </c>
      <c r="B340" s="124" t="s">
        <v>387</v>
      </c>
      <c r="C340" s="125">
        <v>235</v>
      </c>
      <c r="D340" s="125">
        <v>300</v>
      </c>
      <c r="E340" s="127">
        <f t="shared" si="4"/>
        <v>78.33</v>
      </c>
    </row>
    <row r="341" spans="1:5" ht="16.5" customHeight="1">
      <c r="A341" s="124">
        <v>2220115</v>
      </c>
      <c r="B341" s="124" t="s">
        <v>584</v>
      </c>
      <c r="C341" s="125">
        <v>1188</v>
      </c>
      <c r="D341" s="125">
        <v>1363</v>
      </c>
      <c r="E341" s="127">
        <f t="shared" si="4"/>
        <v>87.16</v>
      </c>
    </row>
    <row r="342" spans="1:5" ht="16.5" customHeight="1">
      <c r="A342" s="124">
        <v>2220199</v>
      </c>
      <c r="B342" s="124" t="s">
        <v>585</v>
      </c>
      <c r="C342" s="125">
        <v>364</v>
      </c>
      <c r="D342" s="125">
        <v>1495</v>
      </c>
      <c r="E342" s="127">
        <f t="shared" si="4"/>
        <v>24.35</v>
      </c>
    </row>
    <row r="343" spans="1:5" ht="16.5" customHeight="1">
      <c r="A343" s="124">
        <v>2220511</v>
      </c>
      <c r="B343" s="124" t="s">
        <v>586</v>
      </c>
      <c r="C343" s="125">
        <v>45</v>
      </c>
      <c r="D343" s="125">
        <v>40</v>
      </c>
      <c r="E343" s="127">
        <f t="shared" si="4"/>
        <v>112.5</v>
      </c>
    </row>
    <row r="344" spans="1:5" ht="16.5" customHeight="1">
      <c r="A344" s="193" t="s">
        <v>868</v>
      </c>
      <c r="B344" s="194" t="s">
        <v>587</v>
      </c>
      <c r="C344" s="126">
        <f>SUM(C345:C355)</f>
        <v>4518</v>
      </c>
      <c r="D344" s="126">
        <f>SUM(D345:D355)</f>
        <v>3206</v>
      </c>
      <c r="E344" s="127">
        <f t="shared" si="4"/>
        <v>140.91999999999999</v>
      </c>
    </row>
    <row r="345" spans="1:5" ht="16.5" customHeight="1">
      <c r="A345" s="124">
        <v>2240101</v>
      </c>
      <c r="B345" s="124" t="s">
        <v>387</v>
      </c>
      <c r="C345" s="125">
        <v>577</v>
      </c>
      <c r="D345" s="125">
        <v>512</v>
      </c>
      <c r="E345" s="127">
        <f t="shared" si="4"/>
        <v>112.7</v>
      </c>
    </row>
    <row r="346" spans="1:5" ht="16.5" customHeight="1">
      <c r="A346" s="124">
        <v>2240106</v>
      </c>
      <c r="B346" s="124" t="s">
        <v>638</v>
      </c>
      <c r="C346" s="125">
        <v>30</v>
      </c>
      <c r="D346" s="125">
        <v>45</v>
      </c>
      <c r="E346" s="127"/>
    </row>
    <row r="347" spans="1:5" ht="16.5" customHeight="1">
      <c r="A347" s="124">
        <v>2240150</v>
      </c>
      <c r="B347" s="124" t="s">
        <v>389</v>
      </c>
      <c r="C347" s="125">
        <v>238</v>
      </c>
      <c r="D347" s="125">
        <v>226</v>
      </c>
      <c r="E347" s="127">
        <f t="shared" si="4"/>
        <v>105.31</v>
      </c>
    </row>
    <row r="348" spans="1:5" ht="16.5" customHeight="1">
      <c r="A348" s="124">
        <v>2240199</v>
      </c>
      <c r="B348" s="124" t="s">
        <v>588</v>
      </c>
      <c r="C348" s="125">
        <v>420</v>
      </c>
      <c r="D348" s="125">
        <v>855</v>
      </c>
      <c r="E348" s="127">
        <f t="shared" si="4"/>
        <v>49.12</v>
      </c>
    </row>
    <row r="349" spans="1:5" ht="16.5" customHeight="1">
      <c r="A349" s="124">
        <v>2240299</v>
      </c>
      <c r="B349" s="124" t="s">
        <v>589</v>
      </c>
      <c r="C349" s="125">
        <v>2668</v>
      </c>
      <c r="D349" s="125">
        <v>1416</v>
      </c>
      <c r="E349" s="127">
        <f t="shared" si="4"/>
        <v>188.42</v>
      </c>
    </row>
    <row r="350" spans="1:5" ht="16.5" customHeight="1">
      <c r="A350" s="124">
        <v>2240501</v>
      </c>
      <c r="B350" s="124" t="s">
        <v>387</v>
      </c>
      <c r="C350" s="125">
        <v>134</v>
      </c>
      <c r="D350" s="125">
        <v>133</v>
      </c>
      <c r="E350" s="127">
        <f t="shared" si="4"/>
        <v>100.75</v>
      </c>
    </row>
    <row r="351" spans="1:5" ht="16.5" customHeight="1">
      <c r="A351" s="124">
        <v>2240504</v>
      </c>
      <c r="B351" s="124" t="s">
        <v>590</v>
      </c>
      <c r="C351" s="125">
        <v>10</v>
      </c>
      <c r="D351" s="125">
        <v>11</v>
      </c>
      <c r="E351" s="127">
        <f t="shared" si="4"/>
        <v>90.91</v>
      </c>
    </row>
    <row r="352" spans="1:5" ht="16.5" customHeight="1">
      <c r="A352" s="124">
        <v>2240507</v>
      </c>
      <c r="B352" s="124" t="s">
        <v>591</v>
      </c>
      <c r="C352" s="125"/>
      <c r="D352" s="125">
        <v>2</v>
      </c>
      <c r="E352" s="127">
        <f t="shared" ref="E352:E359" si="5">IF(D352=0,0,C352*100/D352)</f>
        <v>0</v>
      </c>
    </row>
    <row r="353" spans="1:5" ht="16.5" customHeight="1">
      <c r="A353" s="124">
        <v>2240509</v>
      </c>
      <c r="B353" s="124" t="s">
        <v>592</v>
      </c>
      <c r="C353" s="125"/>
      <c r="D353" s="125">
        <v>3</v>
      </c>
      <c r="E353" s="127">
        <f t="shared" si="5"/>
        <v>0</v>
      </c>
    </row>
    <row r="354" spans="1:5" ht="16.5" customHeight="1">
      <c r="A354" s="124">
        <v>2240599</v>
      </c>
      <c r="B354" s="124" t="s">
        <v>593</v>
      </c>
      <c r="C354" s="125"/>
      <c r="D354" s="125">
        <v>3</v>
      </c>
      <c r="E354" s="127">
        <f t="shared" si="5"/>
        <v>0</v>
      </c>
    </row>
    <row r="355" spans="1:5" ht="16.5" customHeight="1">
      <c r="A355" s="124">
        <v>2240601</v>
      </c>
      <c r="B355" s="124" t="s">
        <v>716</v>
      </c>
      <c r="C355" s="125">
        <v>441</v>
      </c>
      <c r="D355" s="125"/>
      <c r="E355" s="127"/>
    </row>
    <row r="356" spans="1:5" ht="16.5" customHeight="1">
      <c r="A356" s="193" t="s">
        <v>869</v>
      </c>
      <c r="B356" s="194" t="s">
        <v>197</v>
      </c>
      <c r="C356" s="125">
        <v>4000</v>
      </c>
      <c r="D356" s="126">
        <v>4000</v>
      </c>
      <c r="E356" s="127">
        <f t="shared" si="5"/>
        <v>100</v>
      </c>
    </row>
    <row r="357" spans="1:5" ht="16.5" customHeight="1">
      <c r="A357" s="193" t="s">
        <v>870</v>
      </c>
      <c r="B357" s="194" t="s">
        <v>132</v>
      </c>
      <c r="C357" s="125">
        <f>11365+1003</f>
        <v>12368</v>
      </c>
      <c r="D357" s="126">
        <f>8214+956</f>
        <v>9170</v>
      </c>
      <c r="E357" s="127">
        <f t="shared" si="5"/>
        <v>134.87</v>
      </c>
    </row>
    <row r="358" spans="1:5" ht="16.5" customHeight="1">
      <c r="A358" s="193" t="s">
        <v>871</v>
      </c>
      <c r="B358" s="194" t="s">
        <v>594</v>
      </c>
      <c r="C358" s="125">
        <v>10339</v>
      </c>
      <c r="D358" s="126">
        <v>7788</v>
      </c>
      <c r="E358" s="127">
        <f>IF(D358=0,0,C358*100/D358)</f>
        <v>132.76</v>
      </c>
    </row>
    <row r="359" spans="1:5" ht="16.5" customHeight="1">
      <c r="A359" s="260" t="s">
        <v>241</v>
      </c>
      <c r="B359" s="261"/>
      <c r="C359" s="212">
        <f>SUM(C6,C87,C97,C117,C132,C156,C204,C232,C243,C255,C289,C303,C310,C320,C323,C324,C334,C339,C344,C356,C357,C358)</f>
        <v>492101</v>
      </c>
      <c r="D359" s="212">
        <f>SUM(D6,D87,D97,D117,D132,D156,D204,D232,D243,D255,D289,D303,D310,D320,D323,D324,D334,D339,D344,D356,D357,D358)</f>
        <v>489953</v>
      </c>
      <c r="E359" s="127">
        <f t="shared" si="5"/>
        <v>100.44</v>
      </c>
    </row>
    <row r="360" spans="1:5" ht="16.5" customHeight="1">
      <c r="A360" s="262" t="s">
        <v>9</v>
      </c>
      <c r="B360" s="263"/>
      <c r="C360" s="128">
        <f>C361+C365</f>
        <v>64486</v>
      </c>
      <c r="D360" s="213">
        <f>D361+D365</f>
        <v>58461</v>
      </c>
      <c r="E360" s="129">
        <f t="shared" ref="E360:E366" si="6">IF(D360=0,0,C360*100/D360)</f>
        <v>110.31</v>
      </c>
    </row>
    <row r="361" spans="1:5" ht="16.5" customHeight="1">
      <c r="A361" s="264" t="s">
        <v>22</v>
      </c>
      <c r="B361" s="265"/>
      <c r="C361" s="128">
        <f>SUM(C362:C364)</f>
        <v>1115</v>
      </c>
      <c r="D361" s="213">
        <f>SUM(D362:D364)</f>
        <v>1115</v>
      </c>
      <c r="E361" s="129">
        <f t="shared" si="6"/>
        <v>100</v>
      </c>
    </row>
    <row r="362" spans="1:5" ht="16.5" customHeight="1">
      <c r="A362" s="264" t="s">
        <v>23</v>
      </c>
      <c r="B362" s="265"/>
      <c r="C362" s="128"/>
      <c r="D362" s="126"/>
      <c r="E362" s="129">
        <f t="shared" si="6"/>
        <v>0</v>
      </c>
    </row>
    <row r="363" spans="1:5" ht="16.5" customHeight="1">
      <c r="A363" s="264" t="s">
        <v>24</v>
      </c>
      <c r="B363" s="265"/>
      <c r="C363" s="130">
        <v>809</v>
      </c>
      <c r="D363" s="126">
        <v>809</v>
      </c>
      <c r="E363" s="129">
        <f t="shared" si="6"/>
        <v>100</v>
      </c>
    </row>
    <row r="364" spans="1:5" ht="16.5" customHeight="1">
      <c r="A364" s="264" t="s">
        <v>25</v>
      </c>
      <c r="B364" s="265"/>
      <c r="C364" s="128">
        <v>306</v>
      </c>
      <c r="D364" s="126">
        <v>306</v>
      </c>
      <c r="E364" s="129">
        <f t="shared" si="6"/>
        <v>100</v>
      </c>
    </row>
    <row r="365" spans="1:5" ht="16.5" customHeight="1">
      <c r="A365" s="264" t="s">
        <v>243</v>
      </c>
      <c r="B365" s="265"/>
      <c r="C365" s="213">
        <v>63371</v>
      </c>
      <c r="D365" s="125">
        <v>57346</v>
      </c>
      <c r="E365" s="129">
        <f t="shared" si="6"/>
        <v>110.51</v>
      </c>
    </row>
    <row r="366" spans="1:5" ht="16.5" customHeight="1">
      <c r="A366" s="260" t="s">
        <v>242</v>
      </c>
      <c r="B366" s="261"/>
      <c r="C366" s="213">
        <f>C360+C359</f>
        <v>556587</v>
      </c>
      <c r="D366" s="213">
        <f>D360+D359</f>
        <v>548414</v>
      </c>
      <c r="E366" s="129">
        <f t="shared" si="6"/>
        <v>101.49</v>
      </c>
    </row>
    <row r="367" spans="1:5" ht="70.5" customHeight="1">
      <c r="A367" s="253"/>
      <c r="B367" s="253"/>
      <c r="C367" s="253"/>
      <c r="D367" s="253"/>
      <c r="E367" s="253"/>
    </row>
  </sheetData>
  <mergeCells count="14">
    <mergeCell ref="A367:E367"/>
    <mergeCell ref="A2:E2"/>
    <mergeCell ref="A4:B4"/>
    <mergeCell ref="C4:C5"/>
    <mergeCell ref="D4:D5"/>
    <mergeCell ref="E4:E5"/>
    <mergeCell ref="A359:B359"/>
    <mergeCell ref="A360:B360"/>
    <mergeCell ref="A361:B361"/>
    <mergeCell ref="A362:B362"/>
    <mergeCell ref="A363:B363"/>
    <mergeCell ref="A364:B364"/>
    <mergeCell ref="A365:B365"/>
    <mergeCell ref="A366:B366"/>
  </mergeCells>
  <phoneticPr fontId="37" type="noConversion"/>
  <pageMargins left="0.70866141732283472" right="0.70866141732283472" top="0.74803149606299213" bottom="0.74803149606299213" header="0.31496062992125984" footer="0.31496062992125984"/>
  <pageSetup paperSize="9" scale="91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showZeros="0" zoomScaleNormal="100" workbookViewId="0">
      <selection activeCell="E13" sqref="E13"/>
    </sheetView>
  </sheetViews>
  <sheetFormatPr defaultColWidth="9" defaultRowHeight="11.25"/>
  <cols>
    <col min="1" max="1" width="37.625" style="133" customWidth="1"/>
    <col min="2" max="2" width="11.125" style="133" customWidth="1"/>
    <col min="3" max="3" width="14.875" style="133" customWidth="1"/>
    <col min="4" max="4" width="15.5" style="133" customWidth="1"/>
    <col min="5" max="5" width="20.75" style="133" customWidth="1"/>
    <col min="6" max="216" width="9" style="133"/>
    <col min="217" max="217" width="20.125" style="133" customWidth="1"/>
    <col min="218" max="218" width="9.625" style="133" customWidth="1"/>
    <col min="219" max="219" width="8.625" style="133" customWidth="1"/>
    <col min="220" max="220" width="8.875" style="133" customWidth="1"/>
    <col min="221" max="223" width="7.625" style="133" customWidth="1"/>
    <col min="224" max="224" width="8.125" style="133" customWidth="1"/>
    <col min="225" max="225" width="7.625" style="133" customWidth="1"/>
    <col min="226" max="226" width="9" style="133" customWidth="1"/>
    <col min="227" max="472" width="9" style="133"/>
    <col min="473" max="473" width="20.125" style="133" customWidth="1"/>
    <col min="474" max="474" width="9.625" style="133" customWidth="1"/>
    <col min="475" max="475" width="8.625" style="133" customWidth="1"/>
    <col min="476" max="476" width="8.875" style="133" customWidth="1"/>
    <col min="477" max="479" width="7.625" style="133" customWidth="1"/>
    <col min="480" max="480" width="8.125" style="133" customWidth="1"/>
    <col min="481" max="481" width="7.625" style="133" customWidth="1"/>
    <col min="482" max="482" width="9" style="133" customWidth="1"/>
    <col min="483" max="728" width="9" style="133"/>
    <col min="729" max="729" width="20.125" style="133" customWidth="1"/>
    <col min="730" max="730" width="9.625" style="133" customWidth="1"/>
    <col min="731" max="731" width="8.625" style="133" customWidth="1"/>
    <col min="732" max="732" width="8.875" style="133" customWidth="1"/>
    <col min="733" max="735" width="7.625" style="133" customWidth="1"/>
    <col min="736" max="736" width="8.125" style="133" customWidth="1"/>
    <col min="737" max="737" width="7.625" style="133" customWidth="1"/>
    <col min="738" max="738" width="9" style="133" customWidth="1"/>
    <col min="739" max="984" width="9" style="133"/>
    <col min="985" max="985" width="20.125" style="133" customWidth="1"/>
    <col min="986" max="986" width="9.625" style="133" customWidth="1"/>
    <col min="987" max="987" width="8.625" style="133" customWidth="1"/>
    <col min="988" max="988" width="8.875" style="133" customWidth="1"/>
    <col min="989" max="991" width="7.625" style="133" customWidth="1"/>
    <col min="992" max="992" width="8.125" style="133" customWidth="1"/>
    <col min="993" max="993" width="7.625" style="133" customWidth="1"/>
    <col min="994" max="994" width="9" style="133" customWidth="1"/>
    <col min="995" max="1240" width="9" style="133"/>
    <col min="1241" max="1241" width="20.125" style="133" customWidth="1"/>
    <col min="1242" max="1242" width="9.625" style="133" customWidth="1"/>
    <col min="1243" max="1243" width="8.625" style="133" customWidth="1"/>
    <col min="1244" max="1244" width="8.875" style="133" customWidth="1"/>
    <col min="1245" max="1247" width="7.625" style="133" customWidth="1"/>
    <col min="1248" max="1248" width="8.125" style="133" customWidth="1"/>
    <col min="1249" max="1249" width="7.625" style="133" customWidth="1"/>
    <col min="1250" max="1250" width="9" style="133" customWidth="1"/>
    <col min="1251" max="1496" width="9" style="133"/>
    <col min="1497" max="1497" width="20.125" style="133" customWidth="1"/>
    <col min="1498" max="1498" width="9.625" style="133" customWidth="1"/>
    <col min="1499" max="1499" width="8.625" style="133" customWidth="1"/>
    <col min="1500" max="1500" width="8.875" style="133" customWidth="1"/>
    <col min="1501" max="1503" width="7.625" style="133" customWidth="1"/>
    <col min="1504" max="1504" width="8.125" style="133" customWidth="1"/>
    <col min="1505" max="1505" width="7.625" style="133" customWidth="1"/>
    <col min="1506" max="1506" width="9" style="133" customWidth="1"/>
    <col min="1507" max="1752" width="9" style="133"/>
    <col min="1753" max="1753" width="20.125" style="133" customWidth="1"/>
    <col min="1754" max="1754" width="9.625" style="133" customWidth="1"/>
    <col min="1755" max="1755" width="8.625" style="133" customWidth="1"/>
    <col min="1756" max="1756" width="8.875" style="133" customWidth="1"/>
    <col min="1757" max="1759" width="7.625" style="133" customWidth="1"/>
    <col min="1760" max="1760" width="8.125" style="133" customWidth="1"/>
    <col min="1761" max="1761" width="7.625" style="133" customWidth="1"/>
    <col min="1762" max="1762" width="9" style="133" customWidth="1"/>
    <col min="1763" max="2008" width="9" style="133"/>
    <col min="2009" max="2009" width="20.125" style="133" customWidth="1"/>
    <col min="2010" max="2010" width="9.625" style="133" customWidth="1"/>
    <col min="2011" max="2011" width="8.625" style="133" customWidth="1"/>
    <col min="2012" max="2012" width="8.875" style="133" customWidth="1"/>
    <col min="2013" max="2015" width="7.625" style="133" customWidth="1"/>
    <col min="2016" max="2016" width="8.125" style="133" customWidth="1"/>
    <col min="2017" max="2017" width="7.625" style="133" customWidth="1"/>
    <col min="2018" max="2018" width="9" style="133" customWidth="1"/>
    <col min="2019" max="2264" width="9" style="133"/>
    <col min="2265" max="2265" width="20.125" style="133" customWidth="1"/>
    <col min="2266" max="2266" width="9.625" style="133" customWidth="1"/>
    <col min="2267" max="2267" width="8.625" style="133" customWidth="1"/>
    <col min="2268" max="2268" width="8.875" style="133" customWidth="1"/>
    <col min="2269" max="2271" width="7.625" style="133" customWidth="1"/>
    <col min="2272" max="2272" width="8.125" style="133" customWidth="1"/>
    <col min="2273" max="2273" width="7.625" style="133" customWidth="1"/>
    <col min="2274" max="2274" width="9" style="133" customWidth="1"/>
    <col min="2275" max="2520" width="9" style="133"/>
    <col min="2521" max="2521" width="20.125" style="133" customWidth="1"/>
    <col min="2522" max="2522" width="9.625" style="133" customWidth="1"/>
    <col min="2523" max="2523" width="8.625" style="133" customWidth="1"/>
    <col min="2524" max="2524" width="8.875" style="133" customWidth="1"/>
    <col min="2525" max="2527" width="7.625" style="133" customWidth="1"/>
    <col min="2528" max="2528" width="8.125" style="133" customWidth="1"/>
    <col min="2529" max="2529" width="7.625" style="133" customWidth="1"/>
    <col min="2530" max="2530" width="9" style="133" customWidth="1"/>
    <col min="2531" max="2776" width="9" style="133"/>
    <col min="2777" max="2777" width="20.125" style="133" customWidth="1"/>
    <col min="2778" max="2778" width="9.625" style="133" customWidth="1"/>
    <col min="2779" max="2779" width="8.625" style="133" customWidth="1"/>
    <col min="2780" max="2780" width="8.875" style="133" customWidth="1"/>
    <col min="2781" max="2783" width="7.625" style="133" customWidth="1"/>
    <col min="2784" max="2784" width="8.125" style="133" customWidth="1"/>
    <col min="2785" max="2785" width="7.625" style="133" customWidth="1"/>
    <col min="2786" max="2786" width="9" style="133" customWidth="1"/>
    <col min="2787" max="3032" width="9" style="133"/>
    <col min="3033" max="3033" width="20.125" style="133" customWidth="1"/>
    <col min="3034" max="3034" width="9.625" style="133" customWidth="1"/>
    <col min="3035" max="3035" width="8.625" style="133" customWidth="1"/>
    <col min="3036" max="3036" width="8.875" style="133" customWidth="1"/>
    <col min="3037" max="3039" width="7.625" style="133" customWidth="1"/>
    <col min="3040" max="3040" width="8.125" style="133" customWidth="1"/>
    <col min="3041" max="3041" width="7.625" style="133" customWidth="1"/>
    <col min="3042" max="3042" width="9" style="133" customWidth="1"/>
    <col min="3043" max="3288" width="9" style="133"/>
    <col min="3289" max="3289" width="20.125" style="133" customWidth="1"/>
    <col min="3290" max="3290" width="9.625" style="133" customWidth="1"/>
    <col min="3291" max="3291" width="8.625" style="133" customWidth="1"/>
    <col min="3292" max="3292" width="8.875" style="133" customWidth="1"/>
    <col min="3293" max="3295" width="7.625" style="133" customWidth="1"/>
    <col min="3296" max="3296" width="8.125" style="133" customWidth="1"/>
    <col min="3297" max="3297" width="7.625" style="133" customWidth="1"/>
    <col min="3298" max="3298" width="9" style="133" customWidth="1"/>
    <col min="3299" max="3544" width="9" style="133"/>
    <col min="3545" max="3545" width="20.125" style="133" customWidth="1"/>
    <col min="3546" max="3546" width="9.625" style="133" customWidth="1"/>
    <col min="3547" max="3547" width="8.625" style="133" customWidth="1"/>
    <col min="3548" max="3548" width="8.875" style="133" customWidth="1"/>
    <col min="3549" max="3551" width="7.625" style="133" customWidth="1"/>
    <col min="3552" max="3552" width="8.125" style="133" customWidth="1"/>
    <col min="3553" max="3553" width="7.625" style="133" customWidth="1"/>
    <col min="3554" max="3554" width="9" style="133" customWidth="1"/>
    <col min="3555" max="3800" width="9" style="133"/>
    <col min="3801" max="3801" width="20.125" style="133" customWidth="1"/>
    <col min="3802" max="3802" width="9.625" style="133" customWidth="1"/>
    <col min="3803" max="3803" width="8.625" style="133" customWidth="1"/>
    <col min="3804" max="3804" width="8.875" style="133" customWidth="1"/>
    <col min="3805" max="3807" width="7.625" style="133" customWidth="1"/>
    <col min="3808" max="3808" width="8.125" style="133" customWidth="1"/>
    <col min="3809" max="3809" width="7.625" style="133" customWidth="1"/>
    <col min="3810" max="3810" width="9" style="133" customWidth="1"/>
    <col min="3811" max="4056" width="9" style="133"/>
    <col min="4057" max="4057" width="20.125" style="133" customWidth="1"/>
    <col min="4058" max="4058" width="9.625" style="133" customWidth="1"/>
    <col min="4059" max="4059" width="8.625" style="133" customWidth="1"/>
    <col min="4060" max="4060" width="8.875" style="133" customWidth="1"/>
    <col min="4061" max="4063" width="7.625" style="133" customWidth="1"/>
    <col min="4064" max="4064" width="8.125" style="133" customWidth="1"/>
    <col min="4065" max="4065" width="7.625" style="133" customWidth="1"/>
    <col min="4066" max="4066" width="9" style="133" customWidth="1"/>
    <col min="4067" max="4312" width="9" style="133"/>
    <col min="4313" max="4313" width="20.125" style="133" customWidth="1"/>
    <col min="4314" max="4314" width="9.625" style="133" customWidth="1"/>
    <col min="4315" max="4315" width="8.625" style="133" customWidth="1"/>
    <col min="4316" max="4316" width="8.875" style="133" customWidth="1"/>
    <col min="4317" max="4319" width="7.625" style="133" customWidth="1"/>
    <col min="4320" max="4320" width="8.125" style="133" customWidth="1"/>
    <col min="4321" max="4321" width="7.625" style="133" customWidth="1"/>
    <col min="4322" max="4322" width="9" style="133" customWidth="1"/>
    <col min="4323" max="4568" width="9" style="133"/>
    <col min="4569" max="4569" width="20.125" style="133" customWidth="1"/>
    <col min="4570" max="4570" width="9.625" style="133" customWidth="1"/>
    <col min="4571" max="4571" width="8.625" style="133" customWidth="1"/>
    <col min="4572" max="4572" width="8.875" style="133" customWidth="1"/>
    <col min="4573" max="4575" width="7.625" style="133" customWidth="1"/>
    <col min="4576" max="4576" width="8.125" style="133" customWidth="1"/>
    <col min="4577" max="4577" width="7.625" style="133" customWidth="1"/>
    <col min="4578" max="4578" width="9" style="133" customWidth="1"/>
    <col min="4579" max="4824" width="9" style="133"/>
    <col min="4825" max="4825" width="20.125" style="133" customWidth="1"/>
    <col min="4826" max="4826" width="9.625" style="133" customWidth="1"/>
    <col min="4827" max="4827" width="8.625" style="133" customWidth="1"/>
    <col min="4828" max="4828" width="8.875" style="133" customWidth="1"/>
    <col min="4829" max="4831" width="7.625" style="133" customWidth="1"/>
    <col min="4832" max="4832" width="8.125" style="133" customWidth="1"/>
    <col min="4833" max="4833" width="7.625" style="133" customWidth="1"/>
    <col min="4834" max="4834" width="9" style="133" customWidth="1"/>
    <col min="4835" max="5080" width="9" style="133"/>
    <col min="5081" max="5081" width="20.125" style="133" customWidth="1"/>
    <col min="5082" max="5082" width="9.625" style="133" customWidth="1"/>
    <col min="5083" max="5083" width="8.625" style="133" customWidth="1"/>
    <col min="5084" max="5084" width="8.875" style="133" customWidth="1"/>
    <col min="5085" max="5087" width="7.625" style="133" customWidth="1"/>
    <col min="5088" max="5088" width="8.125" style="133" customWidth="1"/>
    <col min="5089" max="5089" width="7.625" style="133" customWidth="1"/>
    <col min="5090" max="5090" width="9" style="133" customWidth="1"/>
    <col min="5091" max="5336" width="9" style="133"/>
    <col min="5337" max="5337" width="20.125" style="133" customWidth="1"/>
    <col min="5338" max="5338" width="9.625" style="133" customWidth="1"/>
    <col min="5339" max="5339" width="8.625" style="133" customWidth="1"/>
    <col min="5340" max="5340" width="8.875" style="133" customWidth="1"/>
    <col min="5341" max="5343" width="7.625" style="133" customWidth="1"/>
    <col min="5344" max="5344" width="8.125" style="133" customWidth="1"/>
    <col min="5345" max="5345" width="7.625" style="133" customWidth="1"/>
    <col min="5346" max="5346" width="9" style="133" customWidth="1"/>
    <col min="5347" max="5592" width="9" style="133"/>
    <col min="5593" max="5593" width="20.125" style="133" customWidth="1"/>
    <col min="5594" max="5594" width="9.625" style="133" customWidth="1"/>
    <col min="5595" max="5595" width="8.625" style="133" customWidth="1"/>
    <col min="5596" max="5596" width="8.875" style="133" customWidth="1"/>
    <col min="5597" max="5599" width="7.625" style="133" customWidth="1"/>
    <col min="5600" max="5600" width="8.125" style="133" customWidth="1"/>
    <col min="5601" max="5601" width="7.625" style="133" customWidth="1"/>
    <col min="5602" max="5602" width="9" style="133" customWidth="1"/>
    <col min="5603" max="5848" width="9" style="133"/>
    <col min="5849" max="5849" width="20.125" style="133" customWidth="1"/>
    <col min="5850" max="5850" width="9.625" style="133" customWidth="1"/>
    <col min="5851" max="5851" width="8.625" style="133" customWidth="1"/>
    <col min="5852" max="5852" width="8.875" style="133" customWidth="1"/>
    <col min="5853" max="5855" width="7.625" style="133" customWidth="1"/>
    <col min="5856" max="5856" width="8.125" style="133" customWidth="1"/>
    <col min="5857" max="5857" width="7.625" style="133" customWidth="1"/>
    <col min="5858" max="5858" width="9" style="133" customWidth="1"/>
    <col min="5859" max="6104" width="9" style="133"/>
    <col min="6105" max="6105" width="20.125" style="133" customWidth="1"/>
    <col min="6106" max="6106" width="9.625" style="133" customWidth="1"/>
    <col min="6107" max="6107" width="8.625" style="133" customWidth="1"/>
    <col min="6108" max="6108" width="8.875" style="133" customWidth="1"/>
    <col min="6109" max="6111" width="7.625" style="133" customWidth="1"/>
    <col min="6112" max="6112" width="8.125" style="133" customWidth="1"/>
    <col min="6113" max="6113" width="7.625" style="133" customWidth="1"/>
    <col min="6114" max="6114" width="9" style="133" customWidth="1"/>
    <col min="6115" max="6360" width="9" style="133"/>
    <col min="6361" max="6361" width="20.125" style="133" customWidth="1"/>
    <col min="6362" max="6362" width="9.625" style="133" customWidth="1"/>
    <col min="6363" max="6363" width="8.625" style="133" customWidth="1"/>
    <col min="6364" max="6364" width="8.875" style="133" customWidth="1"/>
    <col min="6365" max="6367" width="7.625" style="133" customWidth="1"/>
    <col min="6368" max="6368" width="8.125" style="133" customWidth="1"/>
    <col min="6369" max="6369" width="7.625" style="133" customWidth="1"/>
    <col min="6370" max="6370" width="9" style="133" customWidth="1"/>
    <col min="6371" max="6616" width="9" style="133"/>
    <col min="6617" max="6617" width="20.125" style="133" customWidth="1"/>
    <col min="6618" max="6618" width="9.625" style="133" customWidth="1"/>
    <col min="6619" max="6619" width="8.625" style="133" customWidth="1"/>
    <col min="6620" max="6620" width="8.875" style="133" customWidth="1"/>
    <col min="6621" max="6623" width="7.625" style="133" customWidth="1"/>
    <col min="6624" max="6624" width="8.125" style="133" customWidth="1"/>
    <col min="6625" max="6625" width="7.625" style="133" customWidth="1"/>
    <col min="6626" max="6626" width="9" style="133" customWidth="1"/>
    <col min="6627" max="6872" width="9" style="133"/>
    <col min="6873" max="6873" width="20.125" style="133" customWidth="1"/>
    <col min="6874" max="6874" width="9.625" style="133" customWidth="1"/>
    <col min="6875" max="6875" width="8.625" style="133" customWidth="1"/>
    <col min="6876" max="6876" width="8.875" style="133" customWidth="1"/>
    <col min="6877" max="6879" width="7.625" style="133" customWidth="1"/>
    <col min="6880" max="6880" width="8.125" style="133" customWidth="1"/>
    <col min="6881" max="6881" width="7.625" style="133" customWidth="1"/>
    <col min="6882" max="6882" width="9" style="133" customWidth="1"/>
    <col min="6883" max="7128" width="9" style="133"/>
    <col min="7129" max="7129" width="20.125" style="133" customWidth="1"/>
    <col min="7130" max="7130" width="9.625" style="133" customWidth="1"/>
    <col min="7131" max="7131" width="8.625" style="133" customWidth="1"/>
    <col min="7132" max="7132" width="8.875" style="133" customWidth="1"/>
    <col min="7133" max="7135" width="7.625" style="133" customWidth="1"/>
    <col min="7136" max="7136" width="8.125" style="133" customWidth="1"/>
    <col min="7137" max="7137" width="7.625" style="133" customWidth="1"/>
    <col min="7138" max="7138" width="9" style="133" customWidth="1"/>
    <col min="7139" max="7384" width="9" style="133"/>
    <col min="7385" max="7385" width="20.125" style="133" customWidth="1"/>
    <col min="7386" max="7386" width="9.625" style="133" customWidth="1"/>
    <col min="7387" max="7387" width="8.625" style="133" customWidth="1"/>
    <col min="7388" max="7388" width="8.875" style="133" customWidth="1"/>
    <col min="7389" max="7391" width="7.625" style="133" customWidth="1"/>
    <col min="7392" max="7392" width="8.125" style="133" customWidth="1"/>
    <col min="7393" max="7393" width="7.625" style="133" customWidth="1"/>
    <col min="7394" max="7394" width="9" style="133" customWidth="1"/>
    <col min="7395" max="7640" width="9" style="133"/>
    <col min="7641" max="7641" width="20.125" style="133" customWidth="1"/>
    <col min="7642" max="7642" width="9.625" style="133" customWidth="1"/>
    <col min="7643" max="7643" width="8.625" style="133" customWidth="1"/>
    <col min="7644" max="7644" width="8.875" style="133" customWidth="1"/>
    <col min="7645" max="7647" width="7.625" style="133" customWidth="1"/>
    <col min="7648" max="7648" width="8.125" style="133" customWidth="1"/>
    <col min="7649" max="7649" width="7.625" style="133" customWidth="1"/>
    <col min="7650" max="7650" width="9" style="133" customWidth="1"/>
    <col min="7651" max="7896" width="9" style="133"/>
    <col min="7897" max="7897" width="20.125" style="133" customWidth="1"/>
    <col min="7898" max="7898" width="9.625" style="133" customWidth="1"/>
    <col min="7899" max="7899" width="8.625" style="133" customWidth="1"/>
    <col min="7900" max="7900" width="8.875" style="133" customWidth="1"/>
    <col min="7901" max="7903" width="7.625" style="133" customWidth="1"/>
    <col min="7904" max="7904" width="8.125" style="133" customWidth="1"/>
    <col min="7905" max="7905" width="7.625" style="133" customWidth="1"/>
    <col min="7906" max="7906" width="9" style="133" customWidth="1"/>
    <col min="7907" max="8152" width="9" style="133"/>
    <col min="8153" max="8153" width="20.125" style="133" customWidth="1"/>
    <col min="8154" max="8154" width="9.625" style="133" customWidth="1"/>
    <col min="8155" max="8155" width="8.625" style="133" customWidth="1"/>
    <col min="8156" max="8156" width="8.875" style="133" customWidth="1"/>
    <col min="8157" max="8159" width="7.625" style="133" customWidth="1"/>
    <col min="8160" max="8160" width="8.125" style="133" customWidth="1"/>
    <col min="8161" max="8161" width="7.625" style="133" customWidth="1"/>
    <col min="8162" max="8162" width="9" style="133" customWidth="1"/>
    <col min="8163" max="8408" width="9" style="133"/>
    <col min="8409" max="8409" width="20.125" style="133" customWidth="1"/>
    <col min="8410" max="8410" width="9.625" style="133" customWidth="1"/>
    <col min="8411" max="8411" width="8.625" style="133" customWidth="1"/>
    <col min="8412" max="8412" width="8.875" style="133" customWidth="1"/>
    <col min="8413" max="8415" width="7.625" style="133" customWidth="1"/>
    <col min="8416" max="8416" width="8.125" style="133" customWidth="1"/>
    <col min="8417" max="8417" width="7.625" style="133" customWidth="1"/>
    <col min="8418" max="8418" width="9" style="133" customWidth="1"/>
    <col min="8419" max="8664" width="9" style="133"/>
    <col min="8665" max="8665" width="20.125" style="133" customWidth="1"/>
    <col min="8666" max="8666" width="9.625" style="133" customWidth="1"/>
    <col min="8667" max="8667" width="8.625" style="133" customWidth="1"/>
    <col min="8668" max="8668" width="8.875" style="133" customWidth="1"/>
    <col min="8669" max="8671" width="7.625" style="133" customWidth="1"/>
    <col min="8672" max="8672" width="8.125" style="133" customWidth="1"/>
    <col min="8673" max="8673" width="7.625" style="133" customWidth="1"/>
    <col min="8674" max="8674" width="9" style="133" customWidth="1"/>
    <col min="8675" max="8920" width="9" style="133"/>
    <col min="8921" max="8921" width="20.125" style="133" customWidth="1"/>
    <col min="8922" max="8922" width="9.625" style="133" customWidth="1"/>
    <col min="8923" max="8923" width="8.625" style="133" customWidth="1"/>
    <col min="8924" max="8924" width="8.875" style="133" customWidth="1"/>
    <col min="8925" max="8927" width="7.625" style="133" customWidth="1"/>
    <col min="8928" max="8928" width="8.125" style="133" customWidth="1"/>
    <col min="8929" max="8929" width="7.625" style="133" customWidth="1"/>
    <col min="8930" max="8930" width="9" style="133" customWidth="1"/>
    <col min="8931" max="9176" width="9" style="133"/>
    <col min="9177" max="9177" width="20.125" style="133" customWidth="1"/>
    <col min="9178" max="9178" width="9.625" style="133" customWidth="1"/>
    <col min="9179" max="9179" width="8.625" style="133" customWidth="1"/>
    <col min="9180" max="9180" width="8.875" style="133" customWidth="1"/>
    <col min="9181" max="9183" width="7.625" style="133" customWidth="1"/>
    <col min="9184" max="9184" width="8.125" style="133" customWidth="1"/>
    <col min="9185" max="9185" width="7.625" style="133" customWidth="1"/>
    <col min="9186" max="9186" width="9" style="133" customWidth="1"/>
    <col min="9187" max="9432" width="9" style="133"/>
    <col min="9433" max="9433" width="20.125" style="133" customWidth="1"/>
    <col min="9434" max="9434" width="9.625" style="133" customWidth="1"/>
    <col min="9435" max="9435" width="8.625" style="133" customWidth="1"/>
    <col min="9436" max="9436" width="8.875" style="133" customWidth="1"/>
    <col min="9437" max="9439" width="7.625" style="133" customWidth="1"/>
    <col min="9440" max="9440" width="8.125" style="133" customWidth="1"/>
    <col min="9441" max="9441" width="7.625" style="133" customWidth="1"/>
    <col min="9442" max="9442" width="9" style="133" customWidth="1"/>
    <col min="9443" max="9688" width="9" style="133"/>
    <col min="9689" max="9689" width="20.125" style="133" customWidth="1"/>
    <col min="9690" max="9690" width="9.625" style="133" customWidth="1"/>
    <col min="9691" max="9691" width="8.625" style="133" customWidth="1"/>
    <col min="9692" max="9692" width="8.875" style="133" customWidth="1"/>
    <col min="9693" max="9695" width="7.625" style="133" customWidth="1"/>
    <col min="9696" max="9696" width="8.125" style="133" customWidth="1"/>
    <col min="9697" max="9697" width="7.625" style="133" customWidth="1"/>
    <col min="9698" max="9698" width="9" style="133" customWidth="1"/>
    <col min="9699" max="9944" width="9" style="133"/>
    <col min="9945" max="9945" width="20.125" style="133" customWidth="1"/>
    <col min="9946" max="9946" width="9.625" style="133" customWidth="1"/>
    <col min="9947" max="9947" width="8.625" style="133" customWidth="1"/>
    <col min="9948" max="9948" width="8.875" style="133" customWidth="1"/>
    <col min="9949" max="9951" width="7.625" style="133" customWidth="1"/>
    <col min="9952" max="9952" width="8.125" style="133" customWidth="1"/>
    <col min="9953" max="9953" width="7.625" style="133" customWidth="1"/>
    <col min="9954" max="9954" width="9" style="133" customWidth="1"/>
    <col min="9955" max="10200" width="9" style="133"/>
    <col min="10201" max="10201" width="20.125" style="133" customWidth="1"/>
    <col min="10202" max="10202" width="9.625" style="133" customWidth="1"/>
    <col min="10203" max="10203" width="8.625" style="133" customWidth="1"/>
    <col min="10204" max="10204" width="8.875" style="133" customWidth="1"/>
    <col min="10205" max="10207" width="7.625" style="133" customWidth="1"/>
    <col min="10208" max="10208" width="8.125" style="133" customWidth="1"/>
    <col min="10209" max="10209" width="7.625" style="133" customWidth="1"/>
    <col min="10210" max="10210" width="9" style="133" customWidth="1"/>
    <col min="10211" max="10456" width="9" style="133"/>
    <col min="10457" max="10457" width="20.125" style="133" customWidth="1"/>
    <col min="10458" max="10458" width="9.625" style="133" customWidth="1"/>
    <col min="10459" max="10459" width="8.625" style="133" customWidth="1"/>
    <col min="10460" max="10460" width="8.875" style="133" customWidth="1"/>
    <col min="10461" max="10463" width="7.625" style="133" customWidth="1"/>
    <col min="10464" max="10464" width="8.125" style="133" customWidth="1"/>
    <col min="10465" max="10465" width="7.625" style="133" customWidth="1"/>
    <col min="10466" max="10466" width="9" style="133" customWidth="1"/>
    <col min="10467" max="10712" width="9" style="133"/>
    <col min="10713" max="10713" width="20.125" style="133" customWidth="1"/>
    <col min="10714" max="10714" width="9.625" style="133" customWidth="1"/>
    <col min="10715" max="10715" width="8.625" style="133" customWidth="1"/>
    <col min="10716" max="10716" width="8.875" style="133" customWidth="1"/>
    <col min="10717" max="10719" width="7.625" style="133" customWidth="1"/>
    <col min="10720" max="10720" width="8.125" style="133" customWidth="1"/>
    <col min="10721" max="10721" width="7.625" style="133" customWidth="1"/>
    <col min="10722" max="10722" width="9" style="133" customWidth="1"/>
    <col min="10723" max="10968" width="9" style="133"/>
    <col min="10969" max="10969" width="20.125" style="133" customWidth="1"/>
    <col min="10970" max="10970" width="9.625" style="133" customWidth="1"/>
    <col min="10971" max="10971" width="8.625" style="133" customWidth="1"/>
    <col min="10972" max="10972" width="8.875" style="133" customWidth="1"/>
    <col min="10973" max="10975" width="7.625" style="133" customWidth="1"/>
    <col min="10976" max="10976" width="8.125" style="133" customWidth="1"/>
    <col min="10977" max="10977" width="7.625" style="133" customWidth="1"/>
    <col min="10978" max="10978" width="9" style="133" customWidth="1"/>
    <col min="10979" max="11224" width="9" style="133"/>
    <col min="11225" max="11225" width="20.125" style="133" customWidth="1"/>
    <col min="11226" max="11226" width="9.625" style="133" customWidth="1"/>
    <col min="11227" max="11227" width="8.625" style="133" customWidth="1"/>
    <col min="11228" max="11228" width="8.875" style="133" customWidth="1"/>
    <col min="11229" max="11231" width="7.625" style="133" customWidth="1"/>
    <col min="11232" max="11232" width="8.125" style="133" customWidth="1"/>
    <col min="11233" max="11233" width="7.625" style="133" customWidth="1"/>
    <col min="11234" max="11234" width="9" style="133" customWidth="1"/>
    <col min="11235" max="11480" width="9" style="133"/>
    <col min="11481" max="11481" width="20.125" style="133" customWidth="1"/>
    <col min="11482" max="11482" width="9.625" style="133" customWidth="1"/>
    <col min="11483" max="11483" width="8.625" style="133" customWidth="1"/>
    <col min="11484" max="11484" width="8.875" style="133" customWidth="1"/>
    <col min="11485" max="11487" width="7.625" style="133" customWidth="1"/>
    <col min="11488" max="11488" width="8.125" style="133" customWidth="1"/>
    <col min="11489" max="11489" width="7.625" style="133" customWidth="1"/>
    <col min="11490" max="11490" width="9" style="133" customWidth="1"/>
    <col min="11491" max="11736" width="9" style="133"/>
    <col min="11737" max="11737" width="20.125" style="133" customWidth="1"/>
    <col min="11738" max="11738" width="9.625" style="133" customWidth="1"/>
    <col min="11739" max="11739" width="8.625" style="133" customWidth="1"/>
    <col min="11740" max="11740" width="8.875" style="133" customWidth="1"/>
    <col min="11741" max="11743" width="7.625" style="133" customWidth="1"/>
    <col min="11744" max="11744" width="8.125" style="133" customWidth="1"/>
    <col min="11745" max="11745" width="7.625" style="133" customWidth="1"/>
    <col min="11746" max="11746" width="9" style="133" customWidth="1"/>
    <col min="11747" max="11992" width="9" style="133"/>
    <col min="11993" max="11993" width="20.125" style="133" customWidth="1"/>
    <col min="11994" max="11994" width="9.625" style="133" customWidth="1"/>
    <col min="11995" max="11995" width="8.625" style="133" customWidth="1"/>
    <col min="11996" max="11996" width="8.875" style="133" customWidth="1"/>
    <col min="11997" max="11999" width="7.625" style="133" customWidth="1"/>
    <col min="12000" max="12000" width="8.125" style="133" customWidth="1"/>
    <col min="12001" max="12001" width="7.625" style="133" customWidth="1"/>
    <col min="12002" max="12002" width="9" style="133" customWidth="1"/>
    <col min="12003" max="12248" width="9" style="133"/>
    <col min="12249" max="12249" width="20.125" style="133" customWidth="1"/>
    <col min="12250" max="12250" width="9.625" style="133" customWidth="1"/>
    <col min="12251" max="12251" width="8.625" style="133" customWidth="1"/>
    <col min="12252" max="12252" width="8.875" style="133" customWidth="1"/>
    <col min="12253" max="12255" width="7.625" style="133" customWidth="1"/>
    <col min="12256" max="12256" width="8.125" style="133" customWidth="1"/>
    <col min="12257" max="12257" width="7.625" style="133" customWidth="1"/>
    <col min="12258" max="12258" width="9" style="133" customWidth="1"/>
    <col min="12259" max="12504" width="9" style="133"/>
    <col min="12505" max="12505" width="20.125" style="133" customWidth="1"/>
    <col min="12506" max="12506" width="9.625" style="133" customWidth="1"/>
    <col min="12507" max="12507" width="8.625" style="133" customWidth="1"/>
    <col min="12508" max="12508" width="8.875" style="133" customWidth="1"/>
    <col min="12509" max="12511" width="7.625" style="133" customWidth="1"/>
    <col min="12512" max="12512" width="8.125" style="133" customWidth="1"/>
    <col min="12513" max="12513" width="7.625" style="133" customWidth="1"/>
    <col min="12514" max="12514" width="9" style="133" customWidth="1"/>
    <col min="12515" max="12760" width="9" style="133"/>
    <col min="12761" max="12761" width="20.125" style="133" customWidth="1"/>
    <col min="12762" max="12762" width="9.625" style="133" customWidth="1"/>
    <col min="12763" max="12763" width="8.625" style="133" customWidth="1"/>
    <col min="12764" max="12764" width="8.875" style="133" customWidth="1"/>
    <col min="12765" max="12767" width="7.625" style="133" customWidth="1"/>
    <col min="12768" max="12768" width="8.125" style="133" customWidth="1"/>
    <col min="12769" max="12769" width="7.625" style="133" customWidth="1"/>
    <col min="12770" max="12770" width="9" style="133" customWidth="1"/>
    <col min="12771" max="13016" width="9" style="133"/>
    <col min="13017" max="13017" width="20.125" style="133" customWidth="1"/>
    <col min="13018" max="13018" width="9.625" style="133" customWidth="1"/>
    <col min="13019" max="13019" width="8.625" style="133" customWidth="1"/>
    <col min="13020" max="13020" width="8.875" style="133" customWidth="1"/>
    <col min="13021" max="13023" width="7.625" style="133" customWidth="1"/>
    <col min="13024" max="13024" width="8.125" style="133" customWidth="1"/>
    <col min="13025" max="13025" width="7.625" style="133" customWidth="1"/>
    <col min="13026" max="13026" width="9" style="133" customWidth="1"/>
    <col min="13027" max="13272" width="9" style="133"/>
    <col min="13273" max="13273" width="20.125" style="133" customWidth="1"/>
    <col min="13274" max="13274" width="9.625" style="133" customWidth="1"/>
    <col min="13275" max="13275" width="8.625" style="133" customWidth="1"/>
    <col min="13276" max="13276" width="8.875" style="133" customWidth="1"/>
    <col min="13277" max="13279" width="7.625" style="133" customWidth="1"/>
    <col min="13280" max="13280" width="8.125" style="133" customWidth="1"/>
    <col min="13281" max="13281" width="7.625" style="133" customWidth="1"/>
    <col min="13282" max="13282" width="9" style="133" customWidth="1"/>
    <col min="13283" max="13528" width="9" style="133"/>
    <col min="13529" max="13529" width="20.125" style="133" customWidth="1"/>
    <col min="13530" max="13530" width="9.625" style="133" customWidth="1"/>
    <col min="13531" max="13531" width="8.625" style="133" customWidth="1"/>
    <col min="13532" max="13532" width="8.875" style="133" customWidth="1"/>
    <col min="13533" max="13535" width="7.625" style="133" customWidth="1"/>
    <col min="13536" max="13536" width="8.125" style="133" customWidth="1"/>
    <col min="13537" max="13537" width="7.625" style="133" customWidth="1"/>
    <col min="13538" max="13538" width="9" style="133" customWidth="1"/>
    <col min="13539" max="13784" width="9" style="133"/>
    <col min="13785" max="13785" width="20.125" style="133" customWidth="1"/>
    <col min="13786" max="13786" width="9.625" style="133" customWidth="1"/>
    <col min="13787" max="13787" width="8.625" style="133" customWidth="1"/>
    <col min="13788" max="13788" width="8.875" style="133" customWidth="1"/>
    <col min="13789" max="13791" width="7.625" style="133" customWidth="1"/>
    <col min="13792" max="13792" width="8.125" style="133" customWidth="1"/>
    <col min="13793" max="13793" width="7.625" style="133" customWidth="1"/>
    <col min="13794" max="13794" width="9" style="133" customWidth="1"/>
    <col min="13795" max="14040" width="9" style="133"/>
    <col min="14041" max="14041" width="20.125" style="133" customWidth="1"/>
    <col min="14042" max="14042" width="9.625" style="133" customWidth="1"/>
    <col min="14043" max="14043" width="8.625" style="133" customWidth="1"/>
    <col min="14044" max="14044" width="8.875" style="133" customWidth="1"/>
    <col min="14045" max="14047" width="7.625" style="133" customWidth="1"/>
    <col min="14048" max="14048" width="8.125" style="133" customWidth="1"/>
    <col min="14049" max="14049" width="7.625" style="133" customWidth="1"/>
    <col min="14050" max="14050" width="9" style="133" customWidth="1"/>
    <col min="14051" max="14296" width="9" style="133"/>
    <col min="14297" max="14297" width="20.125" style="133" customWidth="1"/>
    <col min="14298" max="14298" width="9.625" style="133" customWidth="1"/>
    <col min="14299" max="14299" width="8.625" style="133" customWidth="1"/>
    <col min="14300" max="14300" width="8.875" style="133" customWidth="1"/>
    <col min="14301" max="14303" width="7.625" style="133" customWidth="1"/>
    <col min="14304" max="14304" width="8.125" style="133" customWidth="1"/>
    <col min="14305" max="14305" width="7.625" style="133" customWidth="1"/>
    <col min="14306" max="14306" width="9" style="133" customWidth="1"/>
    <col min="14307" max="14552" width="9" style="133"/>
    <col min="14553" max="14553" width="20.125" style="133" customWidth="1"/>
    <col min="14554" max="14554" width="9.625" style="133" customWidth="1"/>
    <col min="14555" max="14555" width="8.625" style="133" customWidth="1"/>
    <col min="14556" max="14556" width="8.875" style="133" customWidth="1"/>
    <col min="14557" max="14559" width="7.625" style="133" customWidth="1"/>
    <col min="14560" max="14560" width="8.125" style="133" customWidth="1"/>
    <col min="14561" max="14561" width="7.625" style="133" customWidth="1"/>
    <col min="14562" max="14562" width="9" style="133" customWidth="1"/>
    <col min="14563" max="14808" width="9" style="133"/>
    <col min="14809" max="14809" width="20.125" style="133" customWidth="1"/>
    <col min="14810" max="14810" width="9.625" style="133" customWidth="1"/>
    <col min="14811" max="14811" width="8.625" style="133" customWidth="1"/>
    <col min="14812" max="14812" width="8.875" style="133" customWidth="1"/>
    <col min="14813" max="14815" width="7.625" style="133" customWidth="1"/>
    <col min="14816" max="14816" width="8.125" style="133" customWidth="1"/>
    <col min="14817" max="14817" width="7.625" style="133" customWidth="1"/>
    <col min="14818" max="14818" width="9" style="133" customWidth="1"/>
    <col min="14819" max="15064" width="9" style="133"/>
    <col min="15065" max="15065" width="20.125" style="133" customWidth="1"/>
    <col min="15066" max="15066" width="9.625" style="133" customWidth="1"/>
    <col min="15067" max="15067" width="8.625" style="133" customWidth="1"/>
    <col min="15068" max="15068" width="8.875" style="133" customWidth="1"/>
    <col min="15069" max="15071" width="7.625" style="133" customWidth="1"/>
    <col min="15072" max="15072" width="8.125" style="133" customWidth="1"/>
    <col min="15073" max="15073" width="7.625" style="133" customWidth="1"/>
    <col min="15074" max="15074" width="9" style="133" customWidth="1"/>
    <col min="15075" max="15320" width="9" style="133"/>
    <col min="15321" max="15321" width="20.125" style="133" customWidth="1"/>
    <col min="15322" max="15322" width="9.625" style="133" customWidth="1"/>
    <col min="15323" max="15323" width="8.625" style="133" customWidth="1"/>
    <col min="15324" max="15324" width="8.875" style="133" customWidth="1"/>
    <col min="15325" max="15327" width="7.625" style="133" customWidth="1"/>
    <col min="15328" max="15328" width="8.125" style="133" customWidth="1"/>
    <col min="15329" max="15329" width="7.625" style="133" customWidth="1"/>
    <col min="15330" max="15330" width="9" style="133" customWidth="1"/>
    <col min="15331" max="15576" width="9" style="133"/>
    <col min="15577" max="15577" width="20.125" style="133" customWidth="1"/>
    <col min="15578" max="15578" width="9.625" style="133" customWidth="1"/>
    <col min="15579" max="15579" width="8.625" style="133" customWidth="1"/>
    <col min="15580" max="15580" width="8.875" style="133" customWidth="1"/>
    <col min="15581" max="15583" width="7.625" style="133" customWidth="1"/>
    <col min="15584" max="15584" width="8.125" style="133" customWidth="1"/>
    <col min="15585" max="15585" width="7.625" style="133" customWidth="1"/>
    <col min="15586" max="15586" width="9" style="133" customWidth="1"/>
    <col min="15587" max="15832" width="9" style="133"/>
    <col min="15833" max="15833" width="20.125" style="133" customWidth="1"/>
    <col min="15834" max="15834" width="9.625" style="133" customWidth="1"/>
    <col min="15835" max="15835" width="8.625" style="133" customWidth="1"/>
    <col min="15836" max="15836" width="8.875" style="133" customWidth="1"/>
    <col min="15837" max="15839" width="7.625" style="133" customWidth="1"/>
    <col min="15840" max="15840" width="8.125" style="133" customWidth="1"/>
    <col min="15841" max="15841" width="7.625" style="133" customWidth="1"/>
    <col min="15842" max="15842" width="9" style="133" customWidth="1"/>
    <col min="15843" max="16088" width="9" style="133"/>
    <col min="16089" max="16089" width="20.125" style="133" customWidth="1"/>
    <col min="16090" max="16090" width="9.625" style="133" customWidth="1"/>
    <col min="16091" max="16091" width="8.625" style="133" customWidth="1"/>
    <col min="16092" max="16092" width="8.875" style="133" customWidth="1"/>
    <col min="16093" max="16095" width="7.625" style="133" customWidth="1"/>
    <col min="16096" max="16096" width="8.125" style="133" customWidth="1"/>
    <col min="16097" max="16097" width="7.625" style="133" customWidth="1"/>
    <col min="16098" max="16098" width="9" style="133" customWidth="1"/>
    <col min="16099" max="16384" width="9" style="133"/>
  </cols>
  <sheetData>
    <row r="1" spans="1:5" ht="23.1" customHeight="1">
      <c r="A1" s="132" t="s">
        <v>125</v>
      </c>
    </row>
    <row r="2" spans="1:5" ht="32.450000000000003" customHeight="1">
      <c r="A2" s="266" t="s">
        <v>717</v>
      </c>
      <c r="B2" s="266"/>
      <c r="C2" s="266"/>
      <c r="D2" s="266"/>
    </row>
    <row r="3" spans="1:5" ht="23.45" customHeight="1">
      <c r="D3" s="112" t="s">
        <v>19</v>
      </c>
    </row>
    <row r="4" spans="1:5" ht="48.6" customHeight="1">
      <c r="A4" s="31" t="s">
        <v>128</v>
      </c>
      <c r="B4" s="55" t="s">
        <v>18</v>
      </c>
      <c r="C4" s="56" t="s">
        <v>314</v>
      </c>
      <c r="D4" s="56" t="s">
        <v>315</v>
      </c>
    </row>
    <row r="5" spans="1:5" ht="24.6" customHeight="1">
      <c r="A5" s="31" t="s">
        <v>205</v>
      </c>
      <c r="B5" s="94">
        <f>SUM(B6:B20)</f>
        <v>492101</v>
      </c>
      <c r="C5" s="94">
        <v>489953</v>
      </c>
      <c r="D5" s="105">
        <f t="shared" ref="D5:D20" si="0">IF(C5=0,0,B5*100/C5)</f>
        <v>100.44</v>
      </c>
    </row>
    <row r="6" spans="1:5" ht="24.6" customHeight="1">
      <c r="A6" s="32" t="s">
        <v>139</v>
      </c>
      <c r="B6" s="79">
        <v>89024</v>
      </c>
      <c r="C6" s="79">
        <v>73856.86</v>
      </c>
      <c r="D6" s="105">
        <f t="shared" si="0"/>
        <v>120.54</v>
      </c>
      <c r="E6" s="134"/>
    </row>
    <row r="7" spans="1:5" ht="24.6" customHeight="1">
      <c r="A7" s="32" t="s">
        <v>140</v>
      </c>
      <c r="B7" s="79">
        <v>157915</v>
      </c>
      <c r="C7" s="79">
        <v>155054.82999999999</v>
      </c>
      <c r="D7" s="105">
        <f t="shared" si="0"/>
        <v>101.84</v>
      </c>
      <c r="E7" s="134"/>
    </row>
    <row r="8" spans="1:5" ht="24.6" customHeight="1">
      <c r="A8" s="32" t="s">
        <v>141</v>
      </c>
      <c r="B8" s="79">
        <v>19032</v>
      </c>
      <c r="C8" s="79">
        <v>39235.67</v>
      </c>
      <c r="D8" s="105">
        <f t="shared" si="0"/>
        <v>48.51</v>
      </c>
      <c r="E8" s="134"/>
    </row>
    <row r="9" spans="1:5" ht="24.6" customHeight="1">
      <c r="A9" s="32" t="s">
        <v>142</v>
      </c>
      <c r="B9" s="79">
        <v>144</v>
      </c>
      <c r="C9" s="79">
        <v>87.69</v>
      </c>
      <c r="D9" s="105">
        <f t="shared" si="0"/>
        <v>164.21</v>
      </c>
      <c r="E9" s="134"/>
    </row>
    <row r="10" spans="1:5" ht="24.6" customHeight="1">
      <c r="A10" s="32" t="s">
        <v>143</v>
      </c>
      <c r="B10" s="79">
        <v>115213</v>
      </c>
      <c r="C10" s="79">
        <v>132187.75</v>
      </c>
      <c r="D10" s="105">
        <f t="shared" si="0"/>
        <v>87.16</v>
      </c>
      <c r="E10" s="134"/>
    </row>
    <row r="11" spans="1:5" ht="24.6" customHeight="1">
      <c r="A11" s="32" t="s">
        <v>144</v>
      </c>
      <c r="B11" s="79">
        <v>392</v>
      </c>
      <c r="C11" s="79">
        <v>3465.33</v>
      </c>
      <c r="D11" s="105">
        <f t="shared" si="0"/>
        <v>11.31</v>
      </c>
      <c r="E11" s="134"/>
    </row>
    <row r="12" spans="1:5" ht="24.6" customHeight="1">
      <c r="A12" s="32" t="s">
        <v>145</v>
      </c>
      <c r="B12" s="79">
        <v>14464</v>
      </c>
      <c r="C12" s="79">
        <v>9359</v>
      </c>
      <c r="D12" s="105">
        <f t="shared" si="0"/>
        <v>154.55000000000001</v>
      </c>
      <c r="E12" s="134"/>
    </row>
    <row r="13" spans="1:5" ht="24.6" customHeight="1">
      <c r="A13" s="32" t="s">
        <v>146</v>
      </c>
      <c r="B13" s="218">
        <v>6648</v>
      </c>
      <c r="C13" s="79"/>
      <c r="D13" s="105">
        <f t="shared" si="0"/>
        <v>0</v>
      </c>
      <c r="E13" s="134"/>
    </row>
    <row r="14" spans="1:5" ht="24.6" customHeight="1">
      <c r="A14" s="32" t="s">
        <v>147</v>
      </c>
      <c r="B14" s="79">
        <v>29516</v>
      </c>
      <c r="C14" s="79">
        <v>25817.53</v>
      </c>
      <c r="D14" s="105">
        <f t="shared" si="0"/>
        <v>114.33</v>
      </c>
      <c r="E14" s="134"/>
    </row>
    <row r="15" spans="1:5" ht="24.6" customHeight="1">
      <c r="A15" s="32" t="s">
        <v>148</v>
      </c>
      <c r="B15" s="79">
        <v>38797</v>
      </c>
      <c r="C15" s="79">
        <v>38139.89</v>
      </c>
      <c r="D15" s="105">
        <f t="shared" si="0"/>
        <v>101.72</v>
      </c>
      <c r="E15" s="134"/>
    </row>
    <row r="16" spans="1:5" ht="24.6" customHeight="1">
      <c r="A16" s="32" t="s">
        <v>149</v>
      </c>
      <c r="B16" s="79">
        <v>10339</v>
      </c>
      <c r="C16" s="79">
        <v>7788</v>
      </c>
      <c r="D16" s="105">
        <f t="shared" si="0"/>
        <v>132.76</v>
      </c>
      <c r="E16" s="134"/>
    </row>
    <row r="17" spans="1:5" ht="24.6" customHeight="1">
      <c r="A17" s="32" t="s">
        <v>150</v>
      </c>
      <c r="B17" s="79"/>
      <c r="C17" s="79"/>
      <c r="D17" s="105">
        <f t="shared" si="0"/>
        <v>0</v>
      </c>
      <c r="E17" s="134"/>
    </row>
    <row r="18" spans="1:5" ht="24.6" customHeight="1">
      <c r="A18" s="32" t="s">
        <v>151</v>
      </c>
      <c r="B18" s="79">
        <v>595</v>
      </c>
      <c r="C18" s="79"/>
      <c r="D18" s="105">
        <f t="shared" si="0"/>
        <v>0</v>
      </c>
      <c r="E18" s="134"/>
    </row>
    <row r="19" spans="1:5" ht="24.6" customHeight="1">
      <c r="A19" s="32" t="s">
        <v>152</v>
      </c>
      <c r="B19" s="79">
        <v>4184</v>
      </c>
      <c r="C19" s="79">
        <v>4000</v>
      </c>
      <c r="D19" s="105">
        <f t="shared" si="0"/>
        <v>104.6</v>
      </c>
      <c r="E19" s="134"/>
    </row>
    <row r="20" spans="1:5" ht="24.6" customHeight="1">
      <c r="A20" s="32" t="s">
        <v>153</v>
      </c>
      <c r="B20" s="79">
        <v>5838</v>
      </c>
      <c r="C20" s="79">
        <v>959.01</v>
      </c>
      <c r="D20" s="105">
        <f t="shared" si="0"/>
        <v>608.75</v>
      </c>
      <c r="E20" s="134"/>
    </row>
    <row r="21" spans="1:5" ht="45.75" customHeight="1">
      <c r="A21" s="267"/>
      <c r="B21" s="267"/>
      <c r="C21" s="267"/>
      <c r="D21" s="267"/>
      <c r="E21" s="134"/>
    </row>
    <row r="22" spans="1:5" ht="22.15" customHeight="1">
      <c r="E22" s="134"/>
    </row>
    <row r="23" spans="1:5" ht="22.15" customHeight="1">
      <c r="E23" s="134"/>
    </row>
    <row r="24" spans="1:5" ht="22.15" customHeight="1">
      <c r="E24" s="134"/>
    </row>
    <row r="25" spans="1:5" ht="22.15" customHeight="1">
      <c r="E25" s="134"/>
    </row>
    <row r="26" spans="1:5" ht="22.15" customHeight="1">
      <c r="E26" s="134"/>
    </row>
  </sheetData>
  <mergeCells count="2">
    <mergeCell ref="A2:D2"/>
    <mergeCell ref="A21:D21"/>
  </mergeCells>
  <phoneticPr fontId="37" type="noConversion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1"/>
  <sheetViews>
    <sheetView showZero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D56" sqref="D56"/>
    </sheetView>
  </sheetViews>
  <sheetFormatPr defaultColWidth="9" defaultRowHeight="11.25"/>
  <cols>
    <col min="1" max="1" width="36" style="136" customWidth="1"/>
    <col min="2" max="2" width="16.625" style="136" customWidth="1"/>
    <col min="3" max="3" width="16.25" style="136" customWidth="1"/>
    <col min="4" max="4" width="18.75" style="136" customWidth="1"/>
    <col min="5" max="16384" width="9" style="136"/>
  </cols>
  <sheetData>
    <row r="1" spans="1:7" ht="18.600000000000001" customHeight="1">
      <c r="A1" s="135" t="s">
        <v>126</v>
      </c>
    </row>
    <row r="2" spans="1:7" ht="30" customHeight="1">
      <c r="A2" s="268" t="s">
        <v>718</v>
      </c>
      <c r="B2" s="268"/>
      <c r="C2" s="268"/>
      <c r="D2" s="268"/>
    </row>
    <row r="3" spans="1:7" ht="17.25" customHeight="1">
      <c r="A3" s="137"/>
      <c r="D3" s="138" t="s">
        <v>127</v>
      </c>
    </row>
    <row r="4" spans="1:7" ht="39" customHeight="1">
      <c r="A4" s="68" t="s">
        <v>203</v>
      </c>
      <c r="B4" s="55" t="s">
        <v>18</v>
      </c>
      <c r="C4" s="56" t="s">
        <v>314</v>
      </c>
      <c r="D4" s="56" t="s">
        <v>370</v>
      </c>
    </row>
    <row r="5" spans="1:7" ht="22.15" customHeight="1">
      <c r="A5" s="68" t="s">
        <v>204</v>
      </c>
      <c r="B5" s="98">
        <f>B6+B11+B22+B30+B37+B41+B44+B48+B51+B57+B60+B65+B68+B73+B76</f>
        <v>171914</v>
      </c>
      <c r="C5" s="95">
        <f>C6+C11+C22+C30+C37+C41+C44+C48+C51+C57+C60+C65+C68+C73+C76</f>
        <v>148326</v>
      </c>
      <c r="D5" s="105">
        <f t="shared" ref="D5:D68" si="0">IF(C5=0,0,B5*100/C5)</f>
        <v>115.9</v>
      </c>
    </row>
    <row r="6" spans="1:7" s="139" customFormat="1" ht="16.350000000000001" customHeight="1">
      <c r="A6" s="69" t="s">
        <v>139</v>
      </c>
      <c r="B6" s="195">
        <f>SUM(B7:B10)</f>
        <v>87027</v>
      </c>
      <c r="C6" s="80">
        <f>SUM(C7:C10)</f>
        <v>66262</v>
      </c>
      <c r="D6" s="105">
        <f t="shared" si="0"/>
        <v>131.34</v>
      </c>
    </row>
    <row r="7" spans="1:7" ht="16.350000000000001" customHeight="1">
      <c r="A7" s="70" t="s">
        <v>154</v>
      </c>
      <c r="B7" s="195">
        <v>60699</v>
      </c>
      <c r="C7" s="80">
        <v>46376</v>
      </c>
      <c r="D7" s="105">
        <f t="shared" si="0"/>
        <v>130.88</v>
      </c>
    </row>
    <row r="8" spans="1:7" ht="16.350000000000001" customHeight="1">
      <c r="A8" s="70" t="s">
        <v>155</v>
      </c>
      <c r="B8" s="195">
        <v>17481</v>
      </c>
      <c r="C8" s="80">
        <v>12468</v>
      </c>
      <c r="D8" s="105">
        <f t="shared" si="0"/>
        <v>140.21</v>
      </c>
    </row>
    <row r="9" spans="1:7" ht="16.350000000000001" customHeight="1">
      <c r="A9" s="70" t="s">
        <v>156</v>
      </c>
      <c r="B9" s="195">
        <v>5724</v>
      </c>
      <c r="C9" s="80">
        <v>4329</v>
      </c>
      <c r="D9" s="105">
        <f t="shared" si="0"/>
        <v>132.22</v>
      </c>
    </row>
    <row r="10" spans="1:7" ht="16.350000000000001" customHeight="1">
      <c r="A10" s="70" t="s">
        <v>157</v>
      </c>
      <c r="B10" s="195">
        <v>3123</v>
      </c>
      <c r="C10" s="80">
        <v>3089</v>
      </c>
      <c r="D10" s="105">
        <f t="shared" si="0"/>
        <v>101.1</v>
      </c>
      <c r="G10" s="30"/>
    </row>
    <row r="11" spans="1:7" s="139" customFormat="1" ht="16.350000000000001" customHeight="1">
      <c r="A11" s="69" t="s">
        <v>140</v>
      </c>
      <c r="B11" s="195">
        <f>SUM(B12:B21)</f>
        <v>10534</v>
      </c>
      <c r="C11" s="80">
        <f>SUM(C12:C21)</f>
        <v>10860</v>
      </c>
      <c r="D11" s="105">
        <f t="shared" si="0"/>
        <v>97</v>
      </c>
    </row>
    <row r="12" spans="1:7" ht="16.350000000000001" customHeight="1">
      <c r="A12" s="70" t="s">
        <v>158</v>
      </c>
      <c r="B12" s="195">
        <v>7728</v>
      </c>
      <c r="C12" s="80">
        <v>8333</v>
      </c>
      <c r="D12" s="105">
        <f t="shared" ref="D12:D21" si="1">IF(C12=0,0,B12*100/C12)</f>
        <v>92.74</v>
      </c>
    </row>
    <row r="13" spans="1:7" ht="16.350000000000001" customHeight="1">
      <c r="A13" s="70" t="s">
        <v>159</v>
      </c>
      <c r="B13" s="195">
        <v>93</v>
      </c>
      <c r="C13" s="80">
        <v>75</v>
      </c>
      <c r="D13" s="105">
        <f t="shared" si="1"/>
        <v>124</v>
      </c>
    </row>
    <row r="14" spans="1:7" ht="16.350000000000001" customHeight="1">
      <c r="A14" s="70" t="s">
        <v>160</v>
      </c>
      <c r="B14" s="195">
        <v>199</v>
      </c>
      <c r="C14" s="80">
        <v>230</v>
      </c>
      <c r="D14" s="105">
        <f t="shared" si="1"/>
        <v>86.52</v>
      </c>
    </row>
    <row r="15" spans="1:7" ht="16.350000000000001" customHeight="1">
      <c r="A15" s="70" t="s">
        <v>161</v>
      </c>
      <c r="B15" s="195">
        <v>136</v>
      </c>
      <c r="C15" s="80">
        <v>204</v>
      </c>
      <c r="D15" s="105">
        <f t="shared" si="1"/>
        <v>66.67</v>
      </c>
    </row>
    <row r="16" spans="1:7" ht="16.350000000000001" customHeight="1">
      <c r="A16" s="70" t="s">
        <v>162</v>
      </c>
      <c r="B16" s="195">
        <v>619</v>
      </c>
      <c r="C16" s="80">
        <v>650</v>
      </c>
      <c r="D16" s="105">
        <f t="shared" si="1"/>
        <v>95.23</v>
      </c>
    </row>
    <row r="17" spans="1:4" ht="16.350000000000001" customHeight="1">
      <c r="A17" s="70" t="s">
        <v>163</v>
      </c>
      <c r="B17" s="195">
        <v>608</v>
      </c>
      <c r="C17" s="80">
        <v>166</v>
      </c>
      <c r="D17" s="105">
        <f t="shared" si="1"/>
        <v>366.27</v>
      </c>
    </row>
    <row r="18" spans="1:4" ht="16.350000000000001" customHeight="1">
      <c r="A18" s="70" t="s">
        <v>164</v>
      </c>
      <c r="B18" s="195">
        <v>46</v>
      </c>
      <c r="C18" s="80">
        <v>9</v>
      </c>
      <c r="D18" s="105">
        <f t="shared" si="1"/>
        <v>511.11</v>
      </c>
    </row>
    <row r="19" spans="1:4" ht="16.350000000000001" customHeight="1">
      <c r="A19" s="70" t="s">
        <v>165</v>
      </c>
      <c r="B19" s="195">
        <v>809</v>
      </c>
      <c r="C19" s="80">
        <v>533</v>
      </c>
      <c r="D19" s="105">
        <f t="shared" si="1"/>
        <v>151.78</v>
      </c>
    </row>
    <row r="20" spans="1:4" ht="16.350000000000001" customHeight="1">
      <c r="A20" s="70" t="s">
        <v>166</v>
      </c>
      <c r="B20" s="195">
        <v>195</v>
      </c>
      <c r="C20" s="80">
        <v>507</v>
      </c>
      <c r="D20" s="105">
        <f t="shared" si="1"/>
        <v>38.46</v>
      </c>
    </row>
    <row r="21" spans="1:4" ht="16.350000000000001" customHeight="1">
      <c r="A21" s="70" t="s">
        <v>202</v>
      </c>
      <c r="B21" s="195">
        <v>101</v>
      </c>
      <c r="C21" s="80">
        <v>153</v>
      </c>
      <c r="D21" s="105">
        <f t="shared" si="1"/>
        <v>66.010000000000005</v>
      </c>
    </row>
    <row r="22" spans="1:4" s="139" customFormat="1" ht="16.350000000000001" customHeight="1">
      <c r="A22" s="69" t="s">
        <v>141</v>
      </c>
      <c r="B22" s="195">
        <f>SUM(B23:B29)</f>
        <v>204</v>
      </c>
      <c r="C22" s="80">
        <f>SUM(C23:C29)</f>
        <v>2</v>
      </c>
      <c r="D22" s="105">
        <f t="shared" si="0"/>
        <v>10200</v>
      </c>
    </row>
    <row r="23" spans="1:4" ht="16.350000000000001" customHeight="1">
      <c r="A23" s="70" t="s">
        <v>167</v>
      </c>
      <c r="B23" s="195"/>
      <c r="C23" s="80"/>
      <c r="D23" s="105">
        <f t="shared" si="0"/>
        <v>0</v>
      </c>
    </row>
    <row r="24" spans="1:4" ht="16.350000000000001" customHeight="1">
      <c r="A24" s="70" t="s">
        <v>168</v>
      </c>
      <c r="B24" s="195"/>
      <c r="C24" s="80"/>
      <c r="D24" s="105">
        <f t="shared" si="0"/>
        <v>0</v>
      </c>
    </row>
    <row r="25" spans="1:4" ht="16.350000000000001" customHeight="1">
      <c r="A25" s="70" t="s">
        <v>169</v>
      </c>
      <c r="B25" s="195">
        <v>200</v>
      </c>
      <c r="C25" s="80"/>
      <c r="D25" s="105">
        <f t="shared" si="0"/>
        <v>0</v>
      </c>
    </row>
    <row r="26" spans="1:4" ht="16.350000000000001" customHeight="1">
      <c r="A26" s="70" t="s">
        <v>170</v>
      </c>
      <c r="B26" s="195"/>
      <c r="C26" s="80"/>
      <c r="D26" s="105">
        <f t="shared" si="0"/>
        <v>0</v>
      </c>
    </row>
    <row r="27" spans="1:4" ht="16.350000000000001" customHeight="1">
      <c r="A27" s="70" t="s">
        <v>171</v>
      </c>
      <c r="B27" s="195">
        <v>4</v>
      </c>
      <c r="C27" s="80">
        <v>2</v>
      </c>
      <c r="D27" s="105">
        <f t="shared" si="0"/>
        <v>200</v>
      </c>
    </row>
    <row r="28" spans="1:4" ht="16.350000000000001" customHeight="1">
      <c r="A28" s="70" t="s">
        <v>172</v>
      </c>
      <c r="B28" s="195"/>
      <c r="C28" s="80"/>
      <c r="D28" s="105">
        <f t="shared" si="0"/>
        <v>0</v>
      </c>
    </row>
    <row r="29" spans="1:4" ht="16.350000000000001" customHeight="1">
      <c r="A29" s="70" t="s">
        <v>131</v>
      </c>
      <c r="B29" s="195"/>
      <c r="C29" s="80"/>
      <c r="D29" s="105">
        <f t="shared" si="0"/>
        <v>0</v>
      </c>
    </row>
    <row r="30" spans="1:4" s="139" customFormat="1" ht="16.350000000000001" customHeight="1">
      <c r="A30" s="69" t="s">
        <v>142</v>
      </c>
      <c r="B30" s="195">
        <f>SUM(B31:B36)</f>
        <v>137</v>
      </c>
      <c r="C30" s="80"/>
      <c r="D30" s="105">
        <f t="shared" si="0"/>
        <v>0</v>
      </c>
    </row>
    <row r="31" spans="1:4" ht="16.350000000000001" customHeight="1">
      <c r="A31" s="70" t="s">
        <v>167</v>
      </c>
      <c r="B31" s="195"/>
      <c r="C31" s="80"/>
      <c r="D31" s="105">
        <f t="shared" si="0"/>
        <v>0</v>
      </c>
    </row>
    <row r="32" spans="1:4" ht="16.350000000000001" customHeight="1">
      <c r="A32" s="70" t="s">
        <v>168</v>
      </c>
      <c r="B32" s="195"/>
      <c r="C32" s="80"/>
      <c r="D32" s="105">
        <f t="shared" si="0"/>
        <v>0</v>
      </c>
    </row>
    <row r="33" spans="1:4" ht="16.350000000000001" customHeight="1">
      <c r="A33" s="70" t="s">
        <v>169</v>
      </c>
      <c r="B33" s="195">
        <v>110</v>
      </c>
      <c r="C33" s="80"/>
      <c r="D33" s="105">
        <f t="shared" si="0"/>
        <v>0</v>
      </c>
    </row>
    <row r="34" spans="1:4" ht="16.350000000000001" customHeight="1">
      <c r="A34" s="70" t="s">
        <v>171</v>
      </c>
      <c r="B34" s="195">
        <v>27</v>
      </c>
      <c r="C34" s="80"/>
      <c r="D34" s="105">
        <f t="shared" si="0"/>
        <v>0</v>
      </c>
    </row>
    <row r="35" spans="1:4" ht="16.350000000000001" customHeight="1">
      <c r="A35" s="70" t="s">
        <v>172</v>
      </c>
      <c r="B35" s="195"/>
      <c r="C35" s="80"/>
      <c r="D35" s="105">
        <f t="shared" si="0"/>
        <v>0</v>
      </c>
    </row>
    <row r="36" spans="1:4" ht="16.350000000000001" customHeight="1">
      <c r="A36" s="70" t="s">
        <v>131</v>
      </c>
      <c r="B36" s="195"/>
      <c r="C36" s="80"/>
      <c r="D36" s="105">
        <f t="shared" si="0"/>
        <v>0</v>
      </c>
    </row>
    <row r="37" spans="1:4" s="139" customFormat="1" ht="16.350000000000001" customHeight="1">
      <c r="A37" s="69" t="s">
        <v>143</v>
      </c>
      <c r="B37" s="195">
        <f>SUM(B38:B39)</f>
        <v>71380</v>
      </c>
      <c r="C37" s="80">
        <f>SUM(C38:C39)</f>
        <v>67169</v>
      </c>
      <c r="D37" s="105">
        <f t="shared" si="0"/>
        <v>106.27</v>
      </c>
    </row>
    <row r="38" spans="1:4" ht="16.350000000000001" customHeight="1">
      <c r="A38" s="70" t="s">
        <v>129</v>
      </c>
      <c r="B38" s="195">
        <v>67747</v>
      </c>
      <c r="C38" s="80">
        <v>62069</v>
      </c>
      <c r="D38" s="105">
        <f t="shared" si="0"/>
        <v>109.15</v>
      </c>
    </row>
    <row r="39" spans="1:4" ht="16.350000000000001" customHeight="1">
      <c r="A39" s="70" t="s">
        <v>130</v>
      </c>
      <c r="B39" s="195">
        <v>3633</v>
      </c>
      <c r="C39" s="80">
        <v>5100</v>
      </c>
      <c r="D39" s="105">
        <f t="shared" si="0"/>
        <v>71.239999999999995</v>
      </c>
    </row>
    <row r="40" spans="1:4" ht="16.350000000000001" customHeight="1">
      <c r="A40" s="70" t="s">
        <v>173</v>
      </c>
      <c r="B40" s="195"/>
      <c r="C40" s="80"/>
      <c r="D40" s="105">
        <f t="shared" si="0"/>
        <v>0</v>
      </c>
    </row>
    <row r="41" spans="1:4" s="139" customFormat="1" ht="16.350000000000001" customHeight="1">
      <c r="A41" s="69" t="s">
        <v>144</v>
      </c>
      <c r="B41" s="195">
        <f>SUM(B42:B43)</f>
        <v>31</v>
      </c>
      <c r="C41" s="80">
        <f>SUM(C42:C43)</f>
        <v>3</v>
      </c>
      <c r="D41" s="105">
        <f t="shared" si="0"/>
        <v>1033.33</v>
      </c>
    </row>
    <row r="42" spans="1:4" ht="16.350000000000001" customHeight="1">
      <c r="A42" s="70" t="s">
        <v>174</v>
      </c>
      <c r="B42" s="195">
        <v>20</v>
      </c>
      <c r="C42" s="80">
        <v>1</v>
      </c>
      <c r="D42" s="105">
        <f t="shared" si="0"/>
        <v>2000</v>
      </c>
    </row>
    <row r="43" spans="1:4" ht="16.350000000000001" customHeight="1">
      <c r="A43" s="70" t="s">
        <v>175</v>
      </c>
      <c r="B43" s="195">
        <v>11</v>
      </c>
      <c r="C43" s="80">
        <v>2</v>
      </c>
      <c r="D43" s="105">
        <f t="shared" si="0"/>
        <v>550</v>
      </c>
    </row>
    <row r="44" spans="1:4" s="139" customFormat="1" ht="16.350000000000001" customHeight="1">
      <c r="A44" s="69" t="s">
        <v>226</v>
      </c>
      <c r="B44" s="195"/>
      <c r="C44" s="80"/>
      <c r="D44" s="105">
        <f t="shared" si="0"/>
        <v>0</v>
      </c>
    </row>
    <row r="45" spans="1:4" ht="16.350000000000001" customHeight="1">
      <c r="A45" s="70" t="s">
        <v>176</v>
      </c>
      <c r="B45" s="195"/>
      <c r="C45" s="80"/>
      <c r="D45" s="105">
        <f t="shared" si="0"/>
        <v>0</v>
      </c>
    </row>
    <row r="46" spans="1:4" ht="16.350000000000001" customHeight="1">
      <c r="A46" s="70" t="s">
        <v>177</v>
      </c>
      <c r="B46" s="195"/>
      <c r="C46" s="80"/>
      <c r="D46" s="105">
        <f t="shared" si="0"/>
        <v>0</v>
      </c>
    </row>
    <row r="47" spans="1:4" ht="16.350000000000001" customHeight="1">
      <c r="A47" s="70" t="s">
        <v>178</v>
      </c>
      <c r="B47" s="195"/>
      <c r="C47" s="80"/>
      <c r="D47" s="105">
        <f t="shared" si="0"/>
        <v>0</v>
      </c>
    </row>
    <row r="48" spans="1:4" s="139" customFormat="1" ht="16.350000000000001" customHeight="1">
      <c r="A48" s="69" t="s">
        <v>227</v>
      </c>
      <c r="B48" s="195"/>
      <c r="C48" s="80"/>
      <c r="D48" s="105">
        <f t="shared" si="0"/>
        <v>0</v>
      </c>
    </row>
    <row r="49" spans="1:4" ht="16.350000000000001" customHeight="1">
      <c r="A49" s="70" t="s">
        <v>179</v>
      </c>
      <c r="B49" s="195"/>
      <c r="C49" s="80"/>
      <c r="D49" s="105">
        <f t="shared" si="0"/>
        <v>0</v>
      </c>
    </row>
    <row r="50" spans="1:4" ht="16.350000000000001" customHeight="1">
      <c r="A50" s="70" t="s">
        <v>180</v>
      </c>
      <c r="B50" s="195"/>
      <c r="C50" s="80"/>
      <c r="D50" s="105">
        <f t="shared" si="0"/>
        <v>0</v>
      </c>
    </row>
    <row r="51" spans="1:4" s="139" customFormat="1" ht="16.350000000000001" customHeight="1">
      <c r="A51" s="69" t="s">
        <v>228</v>
      </c>
      <c r="B51" s="195">
        <f>SUM(B52:B56)</f>
        <v>2601</v>
      </c>
      <c r="C51" s="80">
        <f>SUM(C52:C56)</f>
        <v>4030</v>
      </c>
      <c r="D51" s="105">
        <f t="shared" si="0"/>
        <v>64.540000000000006</v>
      </c>
    </row>
    <row r="52" spans="1:4" ht="16.350000000000001" customHeight="1">
      <c r="A52" s="70" t="s">
        <v>181</v>
      </c>
      <c r="B52" s="195">
        <v>201</v>
      </c>
      <c r="C52" s="80">
        <v>159</v>
      </c>
      <c r="D52" s="105">
        <f t="shared" si="0"/>
        <v>126.42</v>
      </c>
    </row>
    <row r="53" spans="1:4" ht="16.350000000000001" customHeight="1">
      <c r="A53" s="70" t="s">
        <v>182</v>
      </c>
      <c r="B53" s="195">
        <v>1584</v>
      </c>
      <c r="C53" s="80">
        <v>2981</v>
      </c>
      <c r="D53" s="105">
        <f t="shared" si="0"/>
        <v>53.14</v>
      </c>
    </row>
    <row r="54" spans="1:4" ht="16.350000000000001" customHeight="1">
      <c r="A54" s="70" t="s">
        <v>183</v>
      </c>
      <c r="B54" s="214"/>
      <c r="C54" s="80"/>
      <c r="D54" s="105">
        <f t="shared" si="0"/>
        <v>0</v>
      </c>
    </row>
    <row r="55" spans="1:4" ht="16.350000000000001" customHeight="1">
      <c r="A55" s="70" t="s">
        <v>184</v>
      </c>
      <c r="B55" s="215">
        <v>777</v>
      </c>
      <c r="C55" s="80">
        <v>865</v>
      </c>
      <c r="D55" s="105">
        <f>IF(C55=0,0,B55*100/C55)</f>
        <v>89.83</v>
      </c>
    </row>
    <row r="56" spans="1:4" ht="16.350000000000001" customHeight="1">
      <c r="A56" s="70" t="s">
        <v>185</v>
      </c>
      <c r="B56" s="195">
        <v>39</v>
      </c>
      <c r="C56" s="80">
        <v>25</v>
      </c>
      <c r="D56" s="105">
        <f>IF(C56=0,0,B56*100/C56)</f>
        <v>156</v>
      </c>
    </row>
    <row r="57" spans="1:4" s="139" customFormat="1" ht="16.350000000000001" customHeight="1">
      <c r="A57" s="69" t="s">
        <v>148</v>
      </c>
      <c r="B57" s="195"/>
      <c r="C57" s="80"/>
      <c r="D57" s="105">
        <f t="shared" si="0"/>
        <v>0</v>
      </c>
    </row>
    <row r="58" spans="1:4" ht="16.350000000000001" customHeight="1">
      <c r="A58" s="70" t="s">
        <v>186</v>
      </c>
      <c r="B58" s="195"/>
      <c r="C58" s="80"/>
      <c r="D58" s="105">
        <f t="shared" si="0"/>
        <v>0</v>
      </c>
    </row>
    <row r="59" spans="1:4" ht="16.350000000000001" customHeight="1">
      <c r="A59" s="70" t="s">
        <v>187</v>
      </c>
      <c r="B59" s="195"/>
      <c r="C59" s="80"/>
      <c r="D59" s="105">
        <f t="shared" si="0"/>
        <v>0</v>
      </c>
    </row>
    <row r="60" spans="1:4" s="139" customFormat="1" ht="16.350000000000001" customHeight="1">
      <c r="A60" s="69" t="s">
        <v>229</v>
      </c>
      <c r="B60" s="195"/>
      <c r="C60" s="80"/>
      <c r="D60" s="105">
        <f t="shared" si="0"/>
        <v>0</v>
      </c>
    </row>
    <row r="61" spans="1:4" ht="16.350000000000001" customHeight="1">
      <c r="A61" s="70" t="s">
        <v>188</v>
      </c>
      <c r="B61" s="195"/>
      <c r="C61" s="80"/>
      <c r="D61" s="105">
        <f t="shared" si="0"/>
        <v>0</v>
      </c>
    </row>
    <row r="62" spans="1:4" ht="16.350000000000001" customHeight="1">
      <c r="A62" s="70" t="s">
        <v>189</v>
      </c>
      <c r="B62" s="195"/>
      <c r="C62" s="80"/>
      <c r="D62" s="105">
        <f t="shared" si="0"/>
        <v>0</v>
      </c>
    </row>
    <row r="63" spans="1:4" ht="16.350000000000001" customHeight="1">
      <c r="A63" s="70" t="s">
        <v>190</v>
      </c>
      <c r="B63" s="195"/>
      <c r="C63" s="80"/>
      <c r="D63" s="105">
        <f t="shared" si="0"/>
        <v>0</v>
      </c>
    </row>
    <row r="64" spans="1:4" ht="16.350000000000001" customHeight="1">
      <c r="A64" s="70" t="s">
        <v>191</v>
      </c>
      <c r="B64" s="195"/>
      <c r="C64" s="80"/>
      <c r="D64" s="105">
        <f t="shared" si="0"/>
        <v>0</v>
      </c>
    </row>
    <row r="65" spans="1:4" s="139" customFormat="1" ht="16.350000000000001" customHeight="1">
      <c r="A65" s="69" t="s">
        <v>150</v>
      </c>
      <c r="B65" s="195"/>
      <c r="C65" s="80"/>
      <c r="D65" s="105">
        <f t="shared" si="0"/>
        <v>0</v>
      </c>
    </row>
    <row r="66" spans="1:4" ht="16.350000000000001" customHeight="1">
      <c r="A66" s="70" t="s">
        <v>192</v>
      </c>
      <c r="B66" s="195"/>
      <c r="C66" s="80"/>
      <c r="D66" s="105">
        <f t="shared" si="0"/>
        <v>0</v>
      </c>
    </row>
    <row r="67" spans="1:4" ht="16.350000000000001" customHeight="1">
      <c r="A67" s="70" t="s">
        <v>193</v>
      </c>
      <c r="B67" s="195"/>
      <c r="C67" s="80"/>
      <c r="D67" s="105">
        <f t="shared" si="0"/>
        <v>0</v>
      </c>
    </row>
    <row r="68" spans="1:4" s="139" customFormat="1" ht="16.350000000000001" customHeight="1">
      <c r="A68" s="69" t="s">
        <v>230</v>
      </c>
      <c r="B68" s="195"/>
      <c r="C68" s="80"/>
      <c r="D68" s="105">
        <f t="shared" si="0"/>
        <v>0</v>
      </c>
    </row>
    <row r="69" spans="1:4" ht="16.350000000000001" customHeight="1">
      <c r="A69" s="70" t="s">
        <v>194</v>
      </c>
      <c r="B69" s="195"/>
      <c r="C69" s="80"/>
      <c r="D69" s="105">
        <f t="shared" ref="D69:D80" si="2">IF(C69=0,0,B69*100/C69)</f>
        <v>0</v>
      </c>
    </row>
    <row r="70" spans="1:4" ht="16.350000000000001" customHeight="1">
      <c r="A70" s="70" t="s">
        <v>195</v>
      </c>
      <c r="B70" s="195"/>
      <c r="C70" s="80"/>
      <c r="D70" s="105">
        <f t="shared" si="2"/>
        <v>0</v>
      </c>
    </row>
    <row r="71" spans="1:4" ht="16.350000000000001" customHeight="1">
      <c r="A71" s="70" t="s">
        <v>196</v>
      </c>
      <c r="B71" s="195"/>
      <c r="C71" s="80"/>
      <c r="D71" s="105">
        <f t="shared" si="2"/>
        <v>0</v>
      </c>
    </row>
    <row r="72" spans="1:4" ht="16.350000000000001" customHeight="1">
      <c r="A72" s="70" t="s">
        <v>113</v>
      </c>
      <c r="B72" s="195"/>
      <c r="C72" s="80"/>
      <c r="D72" s="105">
        <f t="shared" si="2"/>
        <v>0</v>
      </c>
    </row>
    <row r="73" spans="1:4" s="139" customFormat="1" ht="16.350000000000001" customHeight="1">
      <c r="A73" s="69" t="s">
        <v>231</v>
      </c>
      <c r="B73" s="195"/>
      <c r="C73" s="80"/>
      <c r="D73" s="105">
        <f t="shared" si="2"/>
        <v>0</v>
      </c>
    </row>
    <row r="74" spans="1:4" ht="16.350000000000001" customHeight="1">
      <c r="A74" s="70" t="s">
        <v>197</v>
      </c>
      <c r="B74" s="195"/>
      <c r="C74" s="80"/>
      <c r="D74" s="105">
        <f t="shared" si="2"/>
        <v>0</v>
      </c>
    </row>
    <row r="75" spans="1:4" ht="16.350000000000001" customHeight="1">
      <c r="A75" s="70" t="s">
        <v>198</v>
      </c>
      <c r="B75" s="195"/>
      <c r="C75" s="80"/>
      <c r="D75" s="105">
        <f t="shared" si="2"/>
        <v>0</v>
      </c>
    </row>
    <row r="76" spans="1:4" s="139" customFormat="1" ht="16.350000000000001" customHeight="1">
      <c r="A76" s="69" t="s">
        <v>232</v>
      </c>
      <c r="B76" s="195"/>
      <c r="C76" s="80"/>
      <c r="D76" s="105">
        <f t="shared" si="2"/>
        <v>0</v>
      </c>
    </row>
    <row r="77" spans="1:4" ht="16.350000000000001" customHeight="1">
      <c r="A77" s="70" t="s">
        <v>199</v>
      </c>
      <c r="B77" s="195"/>
      <c r="C77" s="80"/>
      <c r="D77" s="105">
        <f t="shared" si="2"/>
        <v>0</v>
      </c>
    </row>
    <row r="78" spans="1:4" ht="16.350000000000001" customHeight="1">
      <c r="A78" s="70" t="s">
        <v>200</v>
      </c>
      <c r="B78" s="195"/>
      <c r="C78" s="80"/>
      <c r="D78" s="105">
        <f t="shared" si="2"/>
        <v>0</v>
      </c>
    </row>
    <row r="79" spans="1:4" ht="16.350000000000001" customHeight="1">
      <c r="A79" s="70" t="s">
        <v>201</v>
      </c>
      <c r="B79" s="195"/>
      <c r="C79" s="80"/>
      <c r="D79" s="105">
        <f t="shared" si="2"/>
        <v>0</v>
      </c>
    </row>
    <row r="80" spans="1:4" ht="17.45" customHeight="1">
      <c r="A80" s="70" t="s">
        <v>132</v>
      </c>
      <c r="B80" s="195"/>
      <c r="C80" s="80"/>
      <c r="D80" s="105">
        <f t="shared" si="2"/>
        <v>0</v>
      </c>
    </row>
    <row r="81" spans="1:1" ht="24" customHeight="1">
      <c r="A81" s="140"/>
    </row>
  </sheetData>
  <mergeCells count="1">
    <mergeCell ref="A2:D2"/>
  </mergeCells>
  <phoneticPr fontId="37" type="noConversion"/>
  <pageMargins left="0.70866141732283472" right="0.70866141732283472" top="0.74803149606299213" bottom="0.74803149606299213" header="0.31496062992125984" footer="0.31496062992125984"/>
  <pageSetup paperSize="9" scale="93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31"/>
  <sheetViews>
    <sheetView zoomScaleNormal="100" workbookViewId="0">
      <selection activeCell="A2" sqref="A2:B2"/>
    </sheetView>
  </sheetViews>
  <sheetFormatPr defaultRowHeight="14.25"/>
  <cols>
    <col min="1" max="1" width="66.375" style="110" customWidth="1"/>
    <col min="2" max="2" width="16.875" style="110" customWidth="1"/>
    <col min="3" max="4" width="7" style="110" customWidth="1"/>
    <col min="5" max="16384" width="9" style="110"/>
  </cols>
  <sheetData>
    <row r="1" spans="1:2">
      <c r="A1" s="110" t="s">
        <v>316</v>
      </c>
    </row>
    <row r="2" spans="1:2" ht="29.1" customHeight="1">
      <c r="A2" s="269" t="s">
        <v>719</v>
      </c>
      <c r="B2" s="269"/>
    </row>
    <row r="3" spans="1:2" ht="22.5" customHeight="1">
      <c r="A3" s="141"/>
      <c r="B3" s="142" t="s">
        <v>28</v>
      </c>
    </row>
    <row r="4" spans="1:2" ht="21.75" customHeight="1">
      <c r="A4" s="58" t="s">
        <v>30</v>
      </c>
      <c r="B4" s="38" t="s">
        <v>317</v>
      </c>
    </row>
    <row r="5" spans="1:2" ht="18" customHeight="1">
      <c r="A5" s="57" t="s">
        <v>119</v>
      </c>
      <c r="B5" s="57"/>
    </row>
    <row r="6" spans="1:2" ht="18" customHeight="1">
      <c r="A6" s="52" t="s">
        <v>257</v>
      </c>
      <c r="B6" s="53"/>
    </row>
    <row r="7" spans="1:2" ht="18" customHeight="1">
      <c r="A7" s="52" t="s">
        <v>258</v>
      </c>
      <c r="B7" s="53"/>
    </row>
    <row r="8" spans="1:2" ht="18" customHeight="1">
      <c r="A8" s="52" t="s">
        <v>259</v>
      </c>
      <c r="B8" s="53"/>
    </row>
    <row r="9" spans="1:2" ht="18" customHeight="1">
      <c r="A9" s="57" t="s">
        <v>120</v>
      </c>
      <c r="B9" s="57">
        <v>809</v>
      </c>
    </row>
    <row r="10" spans="1:2" ht="18" customHeight="1">
      <c r="A10" s="52" t="s">
        <v>260</v>
      </c>
      <c r="B10" s="53"/>
    </row>
    <row r="11" spans="1:2" ht="18" customHeight="1">
      <c r="A11" s="52" t="s">
        <v>665</v>
      </c>
      <c r="B11" s="53">
        <v>378</v>
      </c>
    </row>
    <row r="12" spans="1:2" ht="18" customHeight="1">
      <c r="A12" s="52" t="s">
        <v>261</v>
      </c>
      <c r="B12" s="53"/>
    </row>
    <row r="13" spans="1:2" ht="18" customHeight="1">
      <c r="A13" s="52" t="s">
        <v>262</v>
      </c>
      <c r="B13" s="53"/>
    </row>
    <row r="14" spans="1:2" ht="18" customHeight="1">
      <c r="A14" s="52" t="s">
        <v>263</v>
      </c>
      <c r="B14" s="53"/>
    </row>
    <row r="15" spans="1:2" ht="18" customHeight="1">
      <c r="A15" s="52" t="s">
        <v>264</v>
      </c>
      <c r="B15" s="53"/>
    </row>
    <row r="16" spans="1:2" ht="18" customHeight="1">
      <c r="A16" s="52" t="s">
        <v>265</v>
      </c>
      <c r="B16" s="53"/>
    </row>
    <row r="17" spans="1:2" ht="18" customHeight="1">
      <c r="A17" s="52" t="s">
        <v>266</v>
      </c>
      <c r="B17" s="53"/>
    </row>
    <row r="18" spans="1:2" ht="18" customHeight="1">
      <c r="A18" s="52" t="s">
        <v>267</v>
      </c>
      <c r="B18" s="53"/>
    </row>
    <row r="19" spans="1:2" ht="18" customHeight="1">
      <c r="A19" s="73" t="s">
        <v>268</v>
      </c>
      <c r="B19" s="53"/>
    </row>
    <row r="20" spans="1:2" ht="18" customHeight="1">
      <c r="A20" s="52" t="s">
        <v>269</v>
      </c>
      <c r="B20" s="53"/>
    </row>
    <row r="21" spans="1:2" ht="18" customHeight="1">
      <c r="A21" s="52" t="s">
        <v>270</v>
      </c>
      <c r="B21" s="53"/>
    </row>
    <row r="22" spans="1:2" ht="18" customHeight="1">
      <c r="A22" s="52" t="s">
        <v>660</v>
      </c>
      <c r="B22" s="53"/>
    </row>
    <row r="23" spans="1:2" ht="18" customHeight="1">
      <c r="A23" s="52" t="s">
        <v>666</v>
      </c>
      <c r="B23" s="53">
        <v>431</v>
      </c>
    </row>
    <row r="24" spans="1:2" ht="18" customHeight="1">
      <c r="A24" s="52" t="s">
        <v>271</v>
      </c>
      <c r="B24" s="53"/>
    </row>
    <row r="25" spans="1:2" ht="18" customHeight="1">
      <c r="A25" s="81" t="s">
        <v>121</v>
      </c>
      <c r="B25" s="57">
        <v>306</v>
      </c>
    </row>
    <row r="26" spans="1:2" ht="18" customHeight="1">
      <c r="A26" s="82" t="s">
        <v>123</v>
      </c>
      <c r="B26" s="53">
        <v>100</v>
      </c>
    </row>
    <row r="27" spans="1:2" ht="18" customHeight="1">
      <c r="A27" s="82" t="s">
        <v>662</v>
      </c>
      <c r="B27" s="53">
        <v>100</v>
      </c>
    </row>
    <row r="28" spans="1:2" ht="18" customHeight="1">
      <c r="A28" s="82" t="s">
        <v>122</v>
      </c>
      <c r="B28" s="53">
        <v>6</v>
      </c>
    </row>
    <row r="29" spans="1:2" ht="18" customHeight="1">
      <c r="A29" s="82" t="s">
        <v>663</v>
      </c>
      <c r="B29" s="53">
        <v>6</v>
      </c>
    </row>
    <row r="30" spans="1:2" ht="18" customHeight="1">
      <c r="A30" s="196" t="s">
        <v>661</v>
      </c>
      <c r="B30" s="197">
        <v>200</v>
      </c>
    </row>
    <row r="31" spans="1:2">
      <c r="A31" s="196" t="s">
        <v>664</v>
      </c>
      <c r="B31" s="92">
        <v>200</v>
      </c>
    </row>
  </sheetData>
  <mergeCells count="1">
    <mergeCell ref="A2:B2"/>
  </mergeCells>
  <phoneticPr fontId="37" type="noConversion"/>
  <pageMargins left="0.70866141732283472" right="0.70866141732283472" top="0.74803149606299213" bottom="0.74803149606299213" header="0.31496062992125984" footer="0.31496062992125984"/>
  <pageSetup paperSize="9" scale="98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D16"/>
  <sheetViews>
    <sheetView showZeros="0" workbookViewId="0">
      <selection activeCell="K14" sqref="K14"/>
    </sheetView>
  </sheetViews>
  <sheetFormatPr defaultRowHeight="14.25"/>
  <cols>
    <col min="1" max="5" width="17.125" style="143" customWidth="1"/>
    <col min="6" max="16384" width="9" style="143"/>
  </cols>
  <sheetData>
    <row r="1" spans="1:16384" ht="24" customHeight="1">
      <c r="A1" s="110" t="s">
        <v>318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0"/>
      <c r="AZ1" s="110"/>
      <c r="BA1" s="110"/>
      <c r="BB1" s="110"/>
      <c r="BC1" s="110"/>
      <c r="BD1" s="110"/>
      <c r="BE1" s="110"/>
      <c r="BF1" s="110"/>
      <c r="BG1" s="110"/>
      <c r="BH1" s="110"/>
      <c r="BI1" s="110"/>
      <c r="BJ1" s="110"/>
      <c r="BK1" s="110"/>
      <c r="BL1" s="110"/>
      <c r="BM1" s="110"/>
      <c r="BN1" s="110"/>
      <c r="BO1" s="110"/>
      <c r="BP1" s="110"/>
      <c r="BQ1" s="110"/>
      <c r="BR1" s="110"/>
      <c r="BS1" s="110"/>
      <c r="BT1" s="110"/>
      <c r="BU1" s="110"/>
      <c r="BV1" s="110"/>
      <c r="BW1" s="110"/>
      <c r="BX1" s="110"/>
      <c r="BY1" s="110"/>
      <c r="BZ1" s="110"/>
      <c r="CA1" s="110"/>
      <c r="CB1" s="110"/>
      <c r="CC1" s="110"/>
      <c r="CD1" s="110"/>
      <c r="CE1" s="110"/>
      <c r="CF1" s="110"/>
      <c r="CG1" s="110"/>
      <c r="CH1" s="110"/>
      <c r="CI1" s="110"/>
      <c r="CJ1" s="110"/>
      <c r="CK1" s="110"/>
      <c r="CL1" s="110"/>
      <c r="CM1" s="110"/>
      <c r="CN1" s="110"/>
      <c r="CO1" s="110"/>
      <c r="CP1" s="110"/>
      <c r="CQ1" s="110"/>
      <c r="CR1" s="110"/>
      <c r="CS1" s="110"/>
      <c r="CT1" s="110"/>
      <c r="CU1" s="110"/>
      <c r="CV1" s="110"/>
      <c r="CW1" s="110"/>
      <c r="CX1" s="110"/>
      <c r="CY1" s="110"/>
      <c r="CZ1" s="110"/>
      <c r="DA1" s="110"/>
      <c r="DB1" s="110"/>
      <c r="DC1" s="110"/>
      <c r="DD1" s="110"/>
      <c r="DE1" s="110"/>
      <c r="DF1" s="110"/>
      <c r="DG1" s="110"/>
      <c r="DH1" s="110"/>
      <c r="DI1" s="110"/>
      <c r="DJ1" s="110"/>
      <c r="DK1" s="110"/>
      <c r="DL1" s="110"/>
      <c r="DM1" s="110"/>
      <c r="DN1" s="110"/>
      <c r="DO1" s="110"/>
      <c r="DP1" s="110"/>
      <c r="DQ1" s="110"/>
      <c r="DR1" s="110"/>
      <c r="DS1" s="110"/>
      <c r="DT1" s="110"/>
      <c r="DU1" s="110"/>
      <c r="DV1" s="110"/>
      <c r="DW1" s="110"/>
      <c r="DX1" s="110"/>
      <c r="DY1" s="110"/>
      <c r="DZ1" s="110"/>
      <c r="EA1" s="110"/>
      <c r="EB1" s="110"/>
      <c r="EC1" s="110"/>
      <c r="ED1" s="110"/>
      <c r="EE1" s="110"/>
      <c r="EF1" s="110"/>
      <c r="EG1" s="110"/>
      <c r="EH1" s="110"/>
      <c r="EI1" s="110"/>
      <c r="EJ1" s="110"/>
      <c r="EK1" s="110"/>
      <c r="EL1" s="110"/>
      <c r="EM1" s="110"/>
      <c r="EN1" s="110"/>
      <c r="EO1" s="110"/>
      <c r="EP1" s="110"/>
      <c r="EQ1" s="110"/>
      <c r="ER1" s="110"/>
      <c r="ES1" s="110"/>
      <c r="ET1" s="110"/>
      <c r="EU1" s="110"/>
      <c r="EV1" s="110"/>
      <c r="EW1" s="110"/>
      <c r="EX1" s="110"/>
      <c r="EY1" s="110"/>
      <c r="EZ1" s="110"/>
      <c r="FA1" s="110"/>
      <c r="FB1" s="110"/>
      <c r="FC1" s="110"/>
      <c r="FD1" s="110"/>
      <c r="FE1" s="110"/>
      <c r="FF1" s="110"/>
      <c r="FG1" s="110"/>
      <c r="FH1" s="110"/>
      <c r="FI1" s="110"/>
      <c r="FJ1" s="110"/>
      <c r="FK1" s="110"/>
      <c r="FL1" s="110"/>
      <c r="FM1" s="110"/>
      <c r="FN1" s="110"/>
      <c r="FO1" s="110"/>
      <c r="FP1" s="110"/>
      <c r="FQ1" s="110"/>
      <c r="FR1" s="110"/>
      <c r="FS1" s="110"/>
      <c r="FT1" s="110"/>
      <c r="FU1" s="110"/>
      <c r="FV1" s="110"/>
      <c r="FW1" s="110"/>
      <c r="FX1" s="110"/>
      <c r="FY1" s="110"/>
      <c r="FZ1" s="110"/>
      <c r="GA1" s="110"/>
      <c r="GB1" s="110"/>
      <c r="GC1" s="110"/>
      <c r="GD1" s="110"/>
      <c r="GE1" s="110"/>
      <c r="GF1" s="110"/>
      <c r="GG1" s="110"/>
      <c r="GH1" s="110"/>
      <c r="GI1" s="110"/>
      <c r="GJ1" s="110"/>
      <c r="GK1" s="110"/>
      <c r="GL1" s="110"/>
      <c r="GM1" s="110"/>
      <c r="GN1" s="110"/>
      <c r="GO1" s="110"/>
      <c r="GP1" s="110"/>
      <c r="GQ1" s="110"/>
      <c r="GR1" s="110"/>
      <c r="GS1" s="110"/>
      <c r="GT1" s="110"/>
      <c r="GU1" s="110"/>
      <c r="GV1" s="110"/>
      <c r="GW1" s="110"/>
      <c r="GX1" s="110"/>
      <c r="GY1" s="110"/>
      <c r="GZ1" s="110"/>
      <c r="HA1" s="110"/>
      <c r="HB1" s="110"/>
      <c r="HC1" s="110"/>
      <c r="HD1" s="110"/>
      <c r="HE1" s="110"/>
      <c r="HF1" s="110"/>
      <c r="HG1" s="110"/>
      <c r="HH1" s="110"/>
      <c r="HI1" s="110"/>
      <c r="HJ1" s="110"/>
      <c r="HK1" s="110"/>
      <c r="HL1" s="110"/>
      <c r="HM1" s="110"/>
      <c r="HN1" s="110"/>
      <c r="HO1" s="110"/>
      <c r="HP1" s="110"/>
      <c r="HQ1" s="110"/>
      <c r="HR1" s="110"/>
      <c r="HS1" s="110"/>
      <c r="HT1" s="110"/>
      <c r="HU1" s="110"/>
      <c r="HV1" s="110"/>
      <c r="HW1" s="110"/>
      <c r="HX1" s="110"/>
      <c r="HY1" s="110"/>
      <c r="HZ1" s="110"/>
      <c r="IA1" s="110"/>
      <c r="IB1" s="110"/>
      <c r="IC1" s="110"/>
      <c r="ID1" s="110"/>
      <c r="IE1" s="110"/>
      <c r="IF1" s="110"/>
      <c r="IG1" s="110"/>
      <c r="IH1" s="110"/>
      <c r="II1" s="110"/>
      <c r="IJ1" s="110"/>
      <c r="IK1" s="110"/>
      <c r="IL1" s="110"/>
      <c r="IM1" s="110"/>
      <c r="IN1" s="110"/>
      <c r="IO1" s="110"/>
      <c r="IP1" s="110"/>
      <c r="IQ1" s="110"/>
      <c r="IR1" s="110"/>
      <c r="IS1" s="110"/>
      <c r="IT1" s="110"/>
      <c r="IU1" s="110"/>
      <c r="IV1" s="110"/>
      <c r="IW1" s="110"/>
      <c r="IX1" s="110"/>
      <c r="IY1" s="110"/>
      <c r="IZ1" s="110"/>
      <c r="JA1" s="110"/>
      <c r="JB1" s="110"/>
      <c r="JC1" s="110"/>
      <c r="JD1" s="110"/>
      <c r="JE1" s="110"/>
      <c r="JF1" s="110"/>
      <c r="JG1" s="110"/>
      <c r="JH1" s="110"/>
      <c r="JI1" s="110"/>
      <c r="JJ1" s="110"/>
      <c r="JK1" s="110"/>
      <c r="JL1" s="110"/>
      <c r="JM1" s="110"/>
      <c r="JN1" s="110"/>
      <c r="JO1" s="110"/>
      <c r="JP1" s="110"/>
      <c r="JQ1" s="110"/>
      <c r="JR1" s="110"/>
      <c r="JS1" s="110"/>
      <c r="JT1" s="110"/>
      <c r="JU1" s="110"/>
      <c r="JV1" s="110"/>
      <c r="JW1" s="110"/>
      <c r="JX1" s="110"/>
      <c r="JY1" s="110"/>
      <c r="JZ1" s="110"/>
      <c r="KA1" s="110"/>
      <c r="KB1" s="110"/>
      <c r="KC1" s="110"/>
      <c r="KD1" s="110"/>
      <c r="KE1" s="110"/>
      <c r="KF1" s="110"/>
      <c r="KG1" s="110"/>
      <c r="KH1" s="110"/>
      <c r="KI1" s="110"/>
      <c r="KJ1" s="110"/>
      <c r="KK1" s="110"/>
      <c r="KL1" s="110"/>
      <c r="KM1" s="110"/>
      <c r="KN1" s="110"/>
      <c r="KO1" s="110"/>
      <c r="KP1" s="110"/>
      <c r="KQ1" s="110"/>
      <c r="KR1" s="110"/>
      <c r="KS1" s="110"/>
      <c r="KT1" s="110"/>
      <c r="KU1" s="110"/>
      <c r="KV1" s="110"/>
      <c r="KW1" s="110"/>
      <c r="KX1" s="110"/>
      <c r="KY1" s="110"/>
      <c r="KZ1" s="110"/>
      <c r="LA1" s="110"/>
      <c r="LB1" s="110"/>
      <c r="LC1" s="110"/>
      <c r="LD1" s="110"/>
      <c r="LE1" s="110"/>
      <c r="LF1" s="110"/>
      <c r="LG1" s="110"/>
      <c r="LH1" s="110"/>
      <c r="LI1" s="110"/>
      <c r="LJ1" s="110"/>
      <c r="LK1" s="110"/>
      <c r="LL1" s="110"/>
      <c r="LM1" s="110"/>
      <c r="LN1" s="110"/>
      <c r="LO1" s="110"/>
      <c r="LP1" s="110"/>
      <c r="LQ1" s="110"/>
      <c r="LR1" s="110"/>
      <c r="LS1" s="110"/>
      <c r="LT1" s="110"/>
      <c r="LU1" s="110"/>
      <c r="LV1" s="110"/>
      <c r="LW1" s="110"/>
      <c r="LX1" s="110"/>
      <c r="LY1" s="110"/>
      <c r="LZ1" s="110"/>
      <c r="MA1" s="110"/>
      <c r="MB1" s="110"/>
      <c r="MC1" s="110"/>
      <c r="MD1" s="110"/>
      <c r="ME1" s="110"/>
      <c r="MF1" s="110"/>
      <c r="MG1" s="110"/>
      <c r="MH1" s="110"/>
      <c r="MI1" s="110"/>
      <c r="MJ1" s="110"/>
      <c r="MK1" s="110"/>
      <c r="ML1" s="110"/>
      <c r="MM1" s="110"/>
      <c r="MN1" s="110"/>
      <c r="MO1" s="110"/>
      <c r="MP1" s="110"/>
      <c r="MQ1" s="110"/>
      <c r="MR1" s="110"/>
      <c r="MS1" s="110"/>
      <c r="MT1" s="110"/>
      <c r="MU1" s="110"/>
      <c r="MV1" s="110"/>
      <c r="MW1" s="110"/>
      <c r="MX1" s="110"/>
      <c r="MY1" s="110"/>
      <c r="MZ1" s="110"/>
      <c r="NA1" s="110"/>
      <c r="NB1" s="110"/>
      <c r="NC1" s="110"/>
      <c r="ND1" s="110"/>
      <c r="NE1" s="110"/>
      <c r="NF1" s="110"/>
      <c r="NG1" s="110"/>
      <c r="NH1" s="110"/>
      <c r="NI1" s="110"/>
      <c r="NJ1" s="110"/>
      <c r="NK1" s="110"/>
      <c r="NL1" s="110"/>
      <c r="NM1" s="110"/>
      <c r="NN1" s="110"/>
      <c r="NO1" s="110"/>
      <c r="NP1" s="110"/>
      <c r="NQ1" s="110"/>
      <c r="NR1" s="110"/>
      <c r="NS1" s="110"/>
      <c r="NT1" s="110"/>
      <c r="NU1" s="110"/>
      <c r="NV1" s="110"/>
      <c r="NW1" s="110"/>
      <c r="NX1" s="110"/>
      <c r="NY1" s="110"/>
      <c r="NZ1" s="110"/>
      <c r="OA1" s="110"/>
      <c r="OB1" s="110"/>
      <c r="OC1" s="110"/>
      <c r="OD1" s="110"/>
      <c r="OE1" s="110"/>
      <c r="OF1" s="110"/>
      <c r="OG1" s="110"/>
      <c r="OH1" s="110"/>
      <c r="OI1" s="110"/>
      <c r="OJ1" s="110"/>
      <c r="OK1" s="110"/>
      <c r="OL1" s="110"/>
      <c r="OM1" s="110"/>
      <c r="ON1" s="110"/>
      <c r="OO1" s="110"/>
      <c r="OP1" s="110"/>
      <c r="OQ1" s="110"/>
      <c r="OR1" s="110"/>
      <c r="OS1" s="110"/>
      <c r="OT1" s="110"/>
      <c r="OU1" s="110"/>
      <c r="OV1" s="110"/>
      <c r="OW1" s="110"/>
      <c r="OX1" s="110"/>
      <c r="OY1" s="110"/>
      <c r="OZ1" s="110"/>
      <c r="PA1" s="110"/>
      <c r="PB1" s="110"/>
      <c r="PC1" s="110"/>
      <c r="PD1" s="110"/>
      <c r="PE1" s="110"/>
      <c r="PF1" s="110"/>
      <c r="PG1" s="110"/>
      <c r="PH1" s="110"/>
      <c r="PI1" s="110"/>
      <c r="PJ1" s="110"/>
      <c r="PK1" s="110"/>
      <c r="PL1" s="110"/>
      <c r="PM1" s="110"/>
      <c r="PN1" s="110"/>
      <c r="PO1" s="110"/>
      <c r="PP1" s="110"/>
      <c r="PQ1" s="110"/>
      <c r="PR1" s="110"/>
      <c r="PS1" s="110"/>
      <c r="PT1" s="110"/>
      <c r="PU1" s="110"/>
      <c r="PV1" s="110"/>
      <c r="PW1" s="110"/>
      <c r="PX1" s="110"/>
      <c r="PY1" s="110"/>
      <c r="PZ1" s="110"/>
      <c r="QA1" s="110"/>
      <c r="QB1" s="110"/>
      <c r="QC1" s="110"/>
      <c r="QD1" s="110"/>
      <c r="QE1" s="110"/>
      <c r="QF1" s="110"/>
      <c r="QG1" s="110"/>
      <c r="QH1" s="110"/>
      <c r="QI1" s="110"/>
      <c r="QJ1" s="110"/>
      <c r="QK1" s="110"/>
      <c r="QL1" s="110"/>
      <c r="QM1" s="110"/>
      <c r="QN1" s="110"/>
      <c r="QO1" s="110"/>
      <c r="QP1" s="110"/>
      <c r="QQ1" s="110"/>
      <c r="QR1" s="110"/>
      <c r="QS1" s="110"/>
      <c r="QT1" s="110"/>
      <c r="QU1" s="110"/>
      <c r="QV1" s="110"/>
      <c r="QW1" s="110"/>
      <c r="QX1" s="110"/>
      <c r="QY1" s="110"/>
      <c r="QZ1" s="110"/>
      <c r="RA1" s="110"/>
      <c r="RB1" s="110"/>
      <c r="RC1" s="110"/>
      <c r="RD1" s="110"/>
      <c r="RE1" s="110"/>
      <c r="RF1" s="110"/>
      <c r="RG1" s="110"/>
      <c r="RH1" s="110"/>
      <c r="RI1" s="110"/>
      <c r="RJ1" s="110"/>
      <c r="RK1" s="110"/>
      <c r="RL1" s="110"/>
      <c r="RM1" s="110"/>
      <c r="RN1" s="110"/>
      <c r="RO1" s="110"/>
      <c r="RP1" s="110"/>
      <c r="RQ1" s="110"/>
      <c r="RR1" s="110"/>
      <c r="RS1" s="110"/>
      <c r="RT1" s="110"/>
      <c r="RU1" s="110"/>
      <c r="RV1" s="110"/>
      <c r="RW1" s="110"/>
      <c r="RX1" s="110"/>
      <c r="RY1" s="110"/>
      <c r="RZ1" s="110"/>
      <c r="SA1" s="110"/>
      <c r="SB1" s="110"/>
      <c r="SC1" s="110"/>
      <c r="SD1" s="110"/>
      <c r="SE1" s="110"/>
      <c r="SF1" s="110"/>
      <c r="SG1" s="110"/>
      <c r="SH1" s="110"/>
      <c r="SI1" s="110"/>
      <c r="SJ1" s="110"/>
      <c r="SK1" s="110"/>
      <c r="SL1" s="110"/>
      <c r="SM1" s="110"/>
      <c r="SN1" s="110"/>
      <c r="SO1" s="110"/>
      <c r="SP1" s="110"/>
      <c r="SQ1" s="110"/>
      <c r="SR1" s="110"/>
      <c r="SS1" s="110"/>
      <c r="ST1" s="110"/>
      <c r="SU1" s="110"/>
      <c r="SV1" s="110"/>
      <c r="SW1" s="110"/>
      <c r="SX1" s="110"/>
      <c r="SY1" s="110"/>
      <c r="SZ1" s="110"/>
      <c r="TA1" s="110"/>
      <c r="TB1" s="110"/>
      <c r="TC1" s="110"/>
      <c r="TD1" s="110"/>
      <c r="TE1" s="110"/>
      <c r="TF1" s="110"/>
      <c r="TG1" s="110"/>
      <c r="TH1" s="110"/>
      <c r="TI1" s="110"/>
      <c r="TJ1" s="110"/>
      <c r="TK1" s="110"/>
      <c r="TL1" s="110"/>
      <c r="TM1" s="110"/>
      <c r="TN1" s="110"/>
      <c r="TO1" s="110"/>
      <c r="TP1" s="110"/>
      <c r="TQ1" s="110"/>
      <c r="TR1" s="110"/>
      <c r="TS1" s="110"/>
      <c r="TT1" s="110"/>
      <c r="TU1" s="110"/>
      <c r="TV1" s="110"/>
      <c r="TW1" s="110"/>
      <c r="TX1" s="110"/>
      <c r="TY1" s="110"/>
      <c r="TZ1" s="110"/>
      <c r="UA1" s="110"/>
      <c r="UB1" s="110"/>
      <c r="UC1" s="110"/>
      <c r="UD1" s="110"/>
      <c r="UE1" s="110"/>
      <c r="UF1" s="110"/>
      <c r="UG1" s="110"/>
      <c r="UH1" s="110"/>
      <c r="UI1" s="110"/>
      <c r="UJ1" s="110"/>
      <c r="UK1" s="110"/>
      <c r="UL1" s="110"/>
      <c r="UM1" s="110"/>
      <c r="UN1" s="110"/>
      <c r="UO1" s="110"/>
      <c r="UP1" s="110"/>
      <c r="UQ1" s="110"/>
      <c r="UR1" s="110"/>
      <c r="US1" s="110"/>
      <c r="UT1" s="110"/>
      <c r="UU1" s="110"/>
      <c r="UV1" s="110"/>
      <c r="UW1" s="110"/>
      <c r="UX1" s="110"/>
      <c r="UY1" s="110"/>
      <c r="UZ1" s="110"/>
      <c r="VA1" s="110"/>
      <c r="VB1" s="110"/>
      <c r="VC1" s="110"/>
      <c r="VD1" s="110"/>
      <c r="VE1" s="110"/>
      <c r="VF1" s="110"/>
      <c r="VG1" s="110"/>
      <c r="VH1" s="110"/>
      <c r="VI1" s="110"/>
      <c r="VJ1" s="110"/>
      <c r="VK1" s="110"/>
      <c r="VL1" s="110"/>
      <c r="VM1" s="110"/>
      <c r="VN1" s="110"/>
      <c r="VO1" s="110"/>
      <c r="VP1" s="110"/>
      <c r="VQ1" s="110"/>
      <c r="VR1" s="110"/>
      <c r="VS1" s="110"/>
      <c r="VT1" s="110"/>
      <c r="VU1" s="110"/>
      <c r="VV1" s="110"/>
      <c r="VW1" s="110"/>
      <c r="VX1" s="110"/>
      <c r="VY1" s="110"/>
      <c r="VZ1" s="110"/>
      <c r="WA1" s="110"/>
      <c r="WB1" s="110"/>
      <c r="WC1" s="110"/>
      <c r="WD1" s="110"/>
      <c r="WE1" s="110"/>
      <c r="WF1" s="110"/>
      <c r="WG1" s="110"/>
      <c r="WH1" s="110"/>
      <c r="WI1" s="110"/>
      <c r="WJ1" s="110"/>
      <c r="WK1" s="110"/>
      <c r="WL1" s="110"/>
      <c r="WM1" s="110"/>
      <c r="WN1" s="110"/>
      <c r="WO1" s="110"/>
      <c r="WP1" s="110"/>
      <c r="WQ1" s="110"/>
      <c r="WR1" s="110"/>
      <c r="WS1" s="110"/>
      <c r="WT1" s="110"/>
      <c r="WU1" s="110"/>
      <c r="WV1" s="110"/>
      <c r="WW1" s="110"/>
      <c r="WX1" s="110"/>
      <c r="WY1" s="110"/>
      <c r="WZ1" s="110"/>
      <c r="XA1" s="110"/>
      <c r="XB1" s="110"/>
      <c r="XC1" s="110"/>
      <c r="XD1" s="110"/>
      <c r="XE1" s="110"/>
      <c r="XF1" s="110"/>
      <c r="XG1" s="110"/>
      <c r="XH1" s="110"/>
      <c r="XI1" s="110"/>
      <c r="XJ1" s="110"/>
      <c r="XK1" s="110"/>
      <c r="XL1" s="110"/>
      <c r="XM1" s="110"/>
      <c r="XN1" s="110"/>
      <c r="XO1" s="110"/>
      <c r="XP1" s="110"/>
      <c r="XQ1" s="110"/>
      <c r="XR1" s="110"/>
      <c r="XS1" s="110"/>
      <c r="XT1" s="110"/>
      <c r="XU1" s="110"/>
      <c r="XV1" s="110"/>
      <c r="XW1" s="110"/>
      <c r="XX1" s="110"/>
      <c r="XY1" s="110"/>
      <c r="XZ1" s="110"/>
      <c r="YA1" s="110"/>
      <c r="YB1" s="110"/>
      <c r="YC1" s="110"/>
      <c r="YD1" s="110"/>
      <c r="YE1" s="110"/>
      <c r="YF1" s="110"/>
      <c r="YG1" s="110"/>
      <c r="YH1" s="110"/>
      <c r="YI1" s="110"/>
      <c r="YJ1" s="110"/>
      <c r="YK1" s="110"/>
      <c r="YL1" s="110"/>
      <c r="YM1" s="110"/>
      <c r="YN1" s="110"/>
      <c r="YO1" s="110"/>
      <c r="YP1" s="110"/>
      <c r="YQ1" s="110"/>
      <c r="YR1" s="110"/>
      <c r="YS1" s="110"/>
      <c r="YT1" s="110"/>
      <c r="YU1" s="110"/>
      <c r="YV1" s="110"/>
      <c r="YW1" s="110"/>
      <c r="YX1" s="110"/>
      <c r="YY1" s="110"/>
      <c r="YZ1" s="110"/>
      <c r="ZA1" s="110"/>
      <c r="ZB1" s="110"/>
      <c r="ZC1" s="110"/>
      <c r="ZD1" s="110"/>
      <c r="ZE1" s="110"/>
      <c r="ZF1" s="110"/>
      <c r="ZG1" s="110"/>
      <c r="ZH1" s="110"/>
      <c r="ZI1" s="110"/>
      <c r="ZJ1" s="110"/>
      <c r="ZK1" s="110"/>
      <c r="ZL1" s="110"/>
      <c r="ZM1" s="110"/>
      <c r="ZN1" s="110"/>
      <c r="ZO1" s="110"/>
      <c r="ZP1" s="110"/>
      <c r="ZQ1" s="110"/>
      <c r="ZR1" s="110"/>
      <c r="ZS1" s="110"/>
      <c r="ZT1" s="110"/>
      <c r="ZU1" s="110"/>
      <c r="ZV1" s="110"/>
      <c r="ZW1" s="110"/>
      <c r="ZX1" s="110"/>
      <c r="ZY1" s="110"/>
      <c r="ZZ1" s="110"/>
      <c r="AAA1" s="110"/>
      <c r="AAB1" s="110"/>
      <c r="AAC1" s="110"/>
      <c r="AAD1" s="110"/>
      <c r="AAE1" s="110"/>
      <c r="AAF1" s="110"/>
      <c r="AAG1" s="110"/>
      <c r="AAH1" s="110"/>
      <c r="AAI1" s="110"/>
      <c r="AAJ1" s="110"/>
      <c r="AAK1" s="110"/>
      <c r="AAL1" s="110"/>
      <c r="AAM1" s="110"/>
      <c r="AAN1" s="110"/>
      <c r="AAO1" s="110"/>
      <c r="AAP1" s="110"/>
      <c r="AAQ1" s="110"/>
      <c r="AAR1" s="110"/>
      <c r="AAS1" s="110"/>
      <c r="AAT1" s="110"/>
      <c r="AAU1" s="110"/>
      <c r="AAV1" s="110"/>
      <c r="AAW1" s="110"/>
      <c r="AAX1" s="110"/>
      <c r="AAY1" s="110"/>
      <c r="AAZ1" s="110"/>
      <c r="ABA1" s="110"/>
      <c r="ABB1" s="110"/>
      <c r="ABC1" s="110"/>
      <c r="ABD1" s="110"/>
      <c r="ABE1" s="110"/>
      <c r="ABF1" s="110"/>
      <c r="ABG1" s="110"/>
      <c r="ABH1" s="110"/>
      <c r="ABI1" s="110"/>
      <c r="ABJ1" s="110"/>
      <c r="ABK1" s="110"/>
      <c r="ABL1" s="110"/>
      <c r="ABM1" s="110"/>
      <c r="ABN1" s="110"/>
      <c r="ABO1" s="110"/>
      <c r="ABP1" s="110"/>
      <c r="ABQ1" s="110"/>
      <c r="ABR1" s="110"/>
      <c r="ABS1" s="110"/>
      <c r="ABT1" s="110"/>
      <c r="ABU1" s="110"/>
      <c r="ABV1" s="110"/>
      <c r="ABW1" s="110"/>
      <c r="ABX1" s="110"/>
      <c r="ABY1" s="110"/>
      <c r="ABZ1" s="110"/>
      <c r="ACA1" s="110"/>
      <c r="ACB1" s="110"/>
      <c r="ACC1" s="110"/>
      <c r="ACD1" s="110"/>
      <c r="ACE1" s="110"/>
      <c r="ACF1" s="110"/>
      <c r="ACG1" s="110"/>
      <c r="ACH1" s="110"/>
      <c r="ACI1" s="110"/>
      <c r="ACJ1" s="110"/>
      <c r="ACK1" s="110"/>
      <c r="ACL1" s="110"/>
      <c r="ACM1" s="110"/>
      <c r="ACN1" s="110"/>
      <c r="ACO1" s="110"/>
      <c r="ACP1" s="110"/>
      <c r="ACQ1" s="110"/>
      <c r="ACR1" s="110"/>
      <c r="ACS1" s="110"/>
      <c r="ACT1" s="110"/>
      <c r="ACU1" s="110"/>
      <c r="ACV1" s="110"/>
      <c r="ACW1" s="110"/>
      <c r="ACX1" s="110"/>
      <c r="ACY1" s="110"/>
      <c r="ACZ1" s="110"/>
      <c r="ADA1" s="110"/>
      <c r="ADB1" s="110"/>
      <c r="ADC1" s="110"/>
      <c r="ADD1" s="110"/>
      <c r="ADE1" s="110"/>
      <c r="ADF1" s="110"/>
      <c r="ADG1" s="110"/>
      <c r="ADH1" s="110"/>
      <c r="ADI1" s="110"/>
      <c r="ADJ1" s="110"/>
      <c r="ADK1" s="110"/>
      <c r="ADL1" s="110"/>
      <c r="ADM1" s="110"/>
      <c r="ADN1" s="110"/>
      <c r="ADO1" s="110"/>
      <c r="ADP1" s="110"/>
      <c r="ADQ1" s="110"/>
      <c r="ADR1" s="110"/>
      <c r="ADS1" s="110"/>
      <c r="ADT1" s="110"/>
      <c r="ADU1" s="110"/>
      <c r="ADV1" s="110"/>
      <c r="ADW1" s="110"/>
      <c r="ADX1" s="110"/>
      <c r="ADY1" s="110"/>
      <c r="ADZ1" s="110"/>
      <c r="AEA1" s="110"/>
      <c r="AEB1" s="110"/>
      <c r="AEC1" s="110"/>
      <c r="AED1" s="110"/>
      <c r="AEE1" s="110"/>
      <c r="AEF1" s="110"/>
      <c r="AEG1" s="110"/>
      <c r="AEH1" s="110"/>
      <c r="AEI1" s="110"/>
      <c r="AEJ1" s="110"/>
      <c r="AEK1" s="110"/>
      <c r="AEL1" s="110"/>
      <c r="AEM1" s="110"/>
      <c r="AEN1" s="110"/>
      <c r="AEO1" s="110"/>
      <c r="AEP1" s="110"/>
      <c r="AEQ1" s="110"/>
      <c r="AER1" s="110"/>
      <c r="AES1" s="110"/>
      <c r="AET1" s="110"/>
      <c r="AEU1" s="110"/>
      <c r="AEV1" s="110"/>
      <c r="AEW1" s="110"/>
      <c r="AEX1" s="110"/>
      <c r="AEY1" s="110"/>
      <c r="AEZ1" s="110"/>
      <c r="AFA1" s="110"/>
      <c r="AFB1" s="110"/>
      <c r="AFC1" s="110"/>
      <c r="AFD1" s="110"/>
      <c r="AFE1" s="110"/>
      <c r="AFF1" s="110"/>
      <c r="AFG1" s="110"/>
      <c r="AFH1" s="110"/>
      <c r="AFI1" s="110"/>
      <c r="AFJ1" s="110"/>
      <c r="AFK1" s="110"/>
      <c r="AFL1" s="110"/>
      <c r="AFM1" s="110"/>
      <c r="AFN1" s="110"/>
      <c r="AFO1" s="110"/>
      <c r="AFP1" s="110"/>
      <c r="AFQ1" s="110"/>
      <c r="AFR1" s="110"/>
      <c r="AFS1" s="110"/>
      <c r="AFT1" s="110"/>
      <c r="AFU1" s="110"/>
      <c r="AFV1" s="110"/>
      <c r="AFW1" s="110"/>
      <c r="AFX1" s="110"/>
      <c r="AFY1" s="110"/>
      <c r="AFZ1" s="110"/>
      <c r="AGA1" s="110"/>
      <c r="AGB1" s="110"/>
      <c r="AGC1" s="110"/>
      <c r="AGD1" s="110"/>
      <c r="AGE1" s="110"/>
      <c r="AGF1" s="110"/>
      <c r="AGG1" s="110"/>
      <c r="AGH1" s="110"/>
      <c r="AGI1" s="110"/>
      <c r="AGJ1" s="110"/>
      <c r="AGK1" s="110"/>
      <c r="AGL1" s="110"/>
      <c r="AGM1" s="110"/>
      <c r="AGN1" s="110"/>
      <c r="AGO1" s="110"/>
      <c r="AGP1" s="110"/>
      <c r="AGQ1" s="110"/>
      <c r="AGR1" s="110"/>
      <c r="AGS1" s="110"/>
      <c r="AGT1" s="110"/>
      <c r="AGU1" s="110"/>
      <c r="AGV1" s="110"/>
      <c r="AGW1" s="110"/>
      <c r="AGX1" s="110"/>
      <c r="AGY1" s="110"/>
      <c r="AGZ1" s="110"/>
      <c r="AHA1" s="110"/>
      <c r="AHB1" s="110"/>
      <c r="AHC1" s="110"/>
      <c r="AHD1" s="110"/>
      <c r="AHE1" s="110"/>
      <c r="AHF1" s="110"/>
      <c r="AHG1" s="110"/>
      <c r="AHH1" s="110"/>
      <c r="AHI1" s="110"/>
      <c r="AHJ1" s="110"/>
      <c r="AHK1" s="110"/>
      <c r="AHL1" s="110"/>
      <c r="AHM1" s="110"/>
      <c r="AHN1" s="110"/>
      <c r="AHO1" s="110"/>
      <c r="AHP1" s="110"/>
      <c r="AHQ1" s="110"/>
      <c r="AHR1" s="110"/>
      <c r="AHS1" s="110"/>
      <c r="AHT1" s="110"/>
      <c r="AHU1" s="110"/>
      <c r="AHV1" s="110"/>
      <c r="AHW1" s="110"/>
      <c r="AHX1" s="110"/>
      <c r="AHY1" s="110"/>
      <c r="AHZ1" s="110"/>
      <c r="AIA1" s="110"/>
      <c r="AIB1" s="110"/>
      <c r="AIC1" s="110"/>
      <c r="AID1" s="110"/>
      <c r="AIE1" s="110"/>
      <c r="AIF1" s="110"/>
      <c r="AIG1" s="110"/>
      <c r="AIH1" s="110"/>
      <c r="AII1" s="110"/>
      <c r="AIJ1" s="110"/>
      <c r="AIK1" s="110"/>
      <c r="AIL1" s="110"/>
      <c r="AIM1" s="110"/>
      <c r="AIN1" s="110"/>
      <c r="AIO1" s="110"/>
      <c r="AIP1" s="110"/>
      <c r="AIQ1" s="110"/>
      <c r="AIR1" s="110"/>
      <c r="AIS1" s="110"/>
      <c r="AIT1" s="110"/>
      <c r="AIU1" s="110"/>
      <c r="AIV1" s="110"/>
      <c r="AIW1" s="110"/>
      <c r="AIX1" s="110"/>
      <c r="AIY1" s="110"/>
      <c r="AIZ1" s="110"/>
      <c r="AJA1" s="110"/>
      <c r="AJB1" s="110"/>
      <c r="AJC1" s="110"/>
      <c r="AJD1" s="110"/>
      <c r="AJE1" s="110"/>
      <c r="AJF1" s="110"/>
      <c r="AJG1" s="110"/>
      <c r="AJH1" s="110"/>
      <c r="AJI1" s="110"/>
      <c r="AJJ1" s="110"/>
      <c r="AJK1" s="110"/>
      <c r="AJL1" s="110"/>
      <c r="AJM1" s="110"/>
      <c r="AJN1" s="110"/>
      <c r="AJO1" s="110"/>
      <c r="AJP1" s="110"/>
      <c r="AJQ1" s="110"/>
      <c r="AJR1" s="110"/>
      <c r="AJS1" s="110"/>
      <c r="AJT1" s="110"/>
      <c r="AJU1" s="110"/>
      <c r="AJV1" s="110"/>
      <c r="AJW1" s="110"/>
      <c r="AJX1" s="110"/>
      <c r="AJY1" s="110"/>
      <c r="AJZ1" s="110"/>
      <c r="AKA1" s="110"/>
      <c r="AKB1" s="110"/>
      <c r="AKC1" s="110"/>
      <c r="AKD1" s="110"/>
      <c r="AKE1" s="110"/>
      <c r="AKF1" s="110"/>
      <c r="AKG1" s="110"/>
      <c r="AKH1" s="110"/>
      <c r="AKI1" s="110"/>
      <c r="AKJ1" s="110"/>
      <c r="AKK1" s="110"/>
      <c r="AKL1" s="110"/>
      <c r="AKM1" s="110"/>
      <c r="AKN1" s="110"/>
      <c r="AKO1" s="110"/>
      <c r="AKP1" s="110"/>
      <c r="AKQ1" s="110"/>
      <c r="AKR1" s="110"/>
      <c r="AKS1" s="110"/>
      <c r="AKT1" s="110"/>
      <c r="AKU1" s="110"/>
      <c r="AKV1" s="110"/>
      <c r="AKW1" s="110"/>
      <c r="AKX1" s="110"/>
      <c r="AKY1" s="110"/>
      <c r="AKZ1" s="110"/>
      <c r="ALA1" s="110"/>
      <c r="ALB1" s="110"/>
      <c r="ALC1" s="110"/>
      <c r="ALD1" s="110"/>
      <c r="ALE1" s="110"/>
      <c r="ALF1" s="110"/>
      <c r="ALG1" s="110"/>
      <c r="ALH1" s="110"/>
      <c r="ALI1" s="110"/>
      <c r="ALJ1" s="110"/>
      <c r="ALK1" s="110"/>
      <c r="ALL1" s="110"/>
      <c r="ALM1" s="110"/>
      <c r="ALN1" s="110"/>
      <c r="ALO1" s="110"/>
      <c r="ALP1" s="110"/>
      <c r="ALQ1" s="110"/>
      <c r="ALR1" s="110"/>
      <c r="ALS1" s="110"/>
      <c r="ALT1" s="110"/>
      <c r="ALU1" s="110"/>
      <c r="ALV1" s="110"/>
      <c r="ALW1" s="110"/>
      <c r="ALX1" s="110"/>
      <c r="ALY1" s="110"/>
      <c r="ALZ1" s="110"/>
      <c r="AMA1" s="110"/>
      <c r="AMB1" s="110"/>
      <c r="AMC1" s="110"/>
      <c r="AMD1" s="110"/>
      <c r="AME1" s="110"/>
      <c r="AMF1" s="110"/>
      <c r="AMG1" s="110"/>
      <c r="AMH1" s="110"/>
      <c r="AMI1" s="110"/>
      <c r="AMJ1" s="110"/>
      <c r="AMK1" s="110"/>
      <c r="AML1" s="110"/>
      <c r="AMM1" s="110"/>
      <c r="AMN1" s="110"/>
      <c r="AMO1" s="110"/>
      <c r="AMP1" s="110"/>
      <c r="AMQ1" s="110"/>
      <c r="AMR1" s="110"/>
      <c r="AMS1" s="110"/>
      <c r="AMT1" s="110"/>
      <c r="AMU1" s="110"/>
      <c r="AMV1" s="110"/>
      <c r="AMW1" s="110"/>
      <c r="AMX1" s="110"/>
      <c r="AMY1" s="110"/>
      <c r="AMZ1" s="110"/>
      <c r="ANA1" s="110"/>
      <c r="ANB1" s="110"/>
      <c r="ANC1" s="110"/>
      <c r="AND1" s="110"/>
      <c r="ANE1" s="110"/>
      <c r="ANF1" s="110"/>
      <c r="ANG1" s="110"/>
      <c r="ANH1" s="110"/>
      <c r="ANI1" s="110"/>
      <c r="ANJ1" s="110"/>
      <c r="ANK1" s="110"/>
      <c r="ANL1" s="110"/>
      <c r="ANM1" s="110"/>
      <c r="ANN1" s="110"/>
      <c r="ANO1" s="110"/>
      <c r="ANP1" s="110"/>
      <c r="ANQ1" s="110"/>
      <c r="ANR1" s="110"/>
      <c r="ANS1" s="110"/>
      <c r="ANT1" s="110"/>
      <c r="ANU1" s="110"/>
      <c r="ANV1" s="110"/>
      <c r="ANW1" s="110"/>
      <c r="ANX1" s="110"/>
      <c r="ANY1" s="110"/>
      <c r="ANZ1" s="110"/>
      <c r="AOA1" s="110"/>
      <c r="AOB1" s="110"/>
      <c r="AOC1" s="110"/>
      <c r="AOD1" s="110"/>
      <c r="AOE1" s="110"/>
      <c r="AOF1" s="110"/>
      <c r="AOG1" s="110"/>
      <c r="AOH1" s="110"/>
      <c r="AOI1" s="110"/>
      <c r="AOJ1" s="110"/>
      <c r="AOK1" s="110"/>
      <c r="AOL1" s="110"/>
      <c r="AOM1" s="110"/>
      <c r="AON1" s="110"/>
      <c r="AOO1" s="110"/>
      <c r="AOP1" s="110"/>
      <c r="AOQ1" s="110"/>
      <c r="AOR1" s="110"/>
      <c r="AOS1" s="110"/>
      <c r="AOT1" s="110"/>
      <c r="AOU1" s="110"/>
      <c r="AOV1" s="110"/>
      <c r="AOW1" s="110"/>
      <c r="AOX1" s="110"/>
      <c r="AOY1" s="110"/>
      <c r="AOZ1" s="110"/>
      <c r="APA1" s="110"/>
      <c r="APB1" s="110"/>
      <c r="APC1" s="110"/>
      <c r="APD1" s="110"/>
      <c r="APE1" s="110"/>
      <c r="APF1" s="110"/>
      <c r="APG1" s="110"/>
      <c r="APH1" s="110"/>
      <c r="API1" s="110"/>
      <c r="APJ1" s="110"/>
      <c r="APK1" s="110"/>
      <c r="APL1" s="110"/>
      <c r="APM1" s="110"/>
      <c r="APN1" s="110"/>
      <c r="APO1" s="110"/>
      <c r="APP1" s="110"/>
      <c r="APQ1" s="110"/>
      <c r="APR1" s="110"/>
      <c r="APS1" s="110"/>
      <c r="APT1" s="110"/>
      <c r="APU1" s="110"/>
      <c r="APV1" s="110"/>
      <c r="APW1" s="110"/>
      <c r="APX1" s="110"/>
      <c r="APY1" s="110"/>
      <c r="APZ1" s="110"/>
      <c r="AQA1" s="110"/>
      <c r="AQB1" s="110"/>
      <c r="AQC1" s="110"/>
      <c r="AQD1" s="110"/>
      <c r="AQE1" s="110"/>
      <c r="AQF1" s="110"/>
      <c r="AQG1" s="110"/>
      <c r="AQH1" s="110"/>
      <c r="AQI1" s="110"/>
      <c r="AQJ1" s="110"/>
      <c r="AQK1" s="110"/>
      <c r="AQL1" s="110"/>
      <c r="AQM1" s="110"/>
      <c r="AQN1" s="110"/>
      <c r="AQO1" s="110"/>
      <c r="AQP1" s="110"/>
      <c r="AQQ1" s="110"/>
      <c r="AQR1" s="110"/>
      <c r="AQS1" s="110"/>
      <c r="AQT1" s="110"/>
      <c r="AQU1" s="110"/>
      <c r="AQV1" s="110"/>
      <c r="AQW1" s="110"/>
      <c r="AQX1" s="110"/>
      <c r="AQY1" s="110"/>
      <c r="AQZ1" s="110"/>
      <c r="ARA1" s="110"/>
      <c r="ARB1" s="110"/>
      <c r="ARC1" s="110"/>
      <c r="ARD1" s="110"/>
      <c r="ARE1" s="110"/>
      <c r="ARF1" s="110"/>
      <c r="ARG1" s="110"/>
      <c r="ARH1" s="110"/>
      <c r="ARI1" s="110"/>
      <c r="ARJ1" s="110"/>
      <c r="ARK1" s="110"/>
      <c r="ARL1" s="110"/>
      <c r="ARM1" s="110"/>
      <c r="ARN1" s="110"/>
      <c r="ARO1" s="110"/>
      <c r="ARP1" s="110"/>
      <c r="ARQ1" s="110"/>
      <c r="ARR1" s="110"/>
      <c r="ARS1" s="110"/>
      <c r="ART1" s="110"/>
      <c r="ARU1" s="110"/>
      <c r="ARV1" s="110"/>
      <c r="ARW1" s="110"/>
      <c r="ARX1" s="110"/>
      <c r="ARY1" s="110"/>
      <c r="ARZ1" s="110"/>
      <c r="ASA1" s="110"/>
      <c r="ASB1" s="110"/>
      <c r="ASC1" s="110"/>
      <c r="ASD1" s="110"/>
      <c r="ASE1" s="110"/>
      <c r="ASF1" s="110"/>
      <c r="ASG1" s="110"/>
      <c r="ASH1" s="110"/>
      <c r="ASI1" s="110"/>
      <c r="ASJ1" s="110"/>
      <c r="ASK1" s="110"/>
      <c r="ASL1" s="110"/>
      <c r="ASM1" s="110"/>
      <c r="ASN1" s="110"/>
      <c r="ASO1" s="110"/>
      <c r="ASP1" s="110"/>
      <c r="ASQ1" s="110"/>
      <c r="ASR1" s="110"/>
      <c r="ASS1" s="110"/>
      <c r="AST1" s="110"/>
      <c r="ASU1" s="110"/>
      <c r="ASV1" s="110"/>
      <c r="ASW1" s="110"/>
      <c r="ASX1" s="110"/>
      <c r="ASY1" s="110"/>
      <c r="ASZ1" s="110"/>
      <c r="ATA1" s="110"/>
      <c r="ATB1" s="110"/>
      <c r="ATC1" s="110"/>
      <c r="ATD1" s="110"/>
      <c r="ATE1" s="110"/>
      <c r="ATF1" s="110"/>
      <c r="ATG1" s="110"/>
      <c r="ATH1" s="110"/>
      <c r="ATI1" s="110"/>
      <c r="ATJ1" s="110"/>
      <c r="ATK1" s="110"/>
      <c r="ATL1" s="110"/>
      <c r="ATM1" s="110"/>
      <c r="ATN1" s="110"/>
      <c r="ATO1" s="110"/>
      <c r="ATP1" s="110"/>
      <c r="ATQ1" s="110"/>
      <c r="ATR1" s="110"/>
      <c r="ATS1" s="110"/>
      <c r="ATT1" s="110"/>
      <c r="ATU1" s="110"/>
      <c r="ATV1" s="110"/>
      <c r="ATW1" s="110"/>
      <c r="ATX1" s="110"/>
      <c r="ATY1" s="110"/>
      <c r="ATZ1" s="110"/>
      <c r="AUA1" s="110"/>
      <c r="AUB1" s="110"/>
      <c r="AUC1" s="110"/>
      <c r="AUD1" s="110"/>
      <c r="AUE1" s="110"/>
      <c r="AUF1" s="110"/>
      <c r="AUG1" s="110"/>
      <c r="AUH1" s="110"/>
      <c r="AUI1" s="110"/>
      <c r="AUJ1" s="110"/>
      <c r="AUK1" s="110"/>
      <c r="AUL1" s="110"/>
      <c r="AUM1" s="110"/>
      <c r="AUN1" s="110"/>
      <c r="AUO1" s="110"/>
      <c r="AUP1" s="110"/>
      <c r="AUQ1" s="110"/>
      <c r="AUR1" s="110"/>
      <c r="AUS1" s="110"/>
      <c r="AUT1" s="110"/>
      <c r="AUU1" s="110"/>
      <c r="AUV1" s="110"/>
      <c r="AUW1" s="110"/>
      <c r="AUX1" s="110"/>
      <c r="AUY1" s="110"/>
      <c r="AUZ1" s="110"/>
      <c r="AVA1" s="110"/>
      <c r="AVB1" s="110"/>
      <c r="AVC1" s="110"/>
      <c r="AVD1" s="110"/>
      <c r="AVE1" s="110"/>
      <c r="AVF1" s="110"/>
      <c r="AVG1" s="110"/>
      <c r="AVH1" s="110"/>
      <c r="AVI1" s="110"/>
      <c r="AVJ1" s="110"/>
      <c r="AVK1" s="110"/>
      <c r="AVL1" s="110"/>
      <c r="AVM1" s="110"/>
      <c r="AVN1" s="110"/>
      <c r="AVO1" s="110"/>
      <c r="AVP1" s="110"/>
      <c r="AVQ1" s="110"/>
      <c r="AVR1" s="110"/>
      <c r="AVS1" s="110"/>
      <c r="AVT1" s="110"/>
      <c r="AVU1" s="110"/>
      <c r="AVV1" s="110"/>
      <c r="AVW1" s="110"/>
      <c r="AVX1" s="110"/>
      <c r="AVY1" s="110"/>
      <c r="AVZ1" s="110"/>
      <c r="AWA1" s="110"/>
      <c r="AWB1" s="110"/>
      <c r="AWC1" s="110"/>
      <c r="AWD1" s="110"/>
      <c r="AWE1" s="110"/>
      <c r="AWF1" s="110"/>
      <c r="AWG1" s="110"/>
      <c r="AWH1" s="110"/>
      <c r="AWI1" s="110"/>
      <c r="AWJ1" s="110"/>
      <c r="AWK1" s="110"/>
      <c r="AWL1" s="110"/>
      <c r="AWM1" s="110"/>
      <c r="AWN1" s="110"/>
      <c r="AWO1" s="110"/>
      <c r="AWP1" s="110"/>
      <c r="AWQ1" s="110"/>
      <c r="AWR1" s="110"/>
      <c r="AWS1" s="110"/>
      <c r="AWT1" s="110"/>
      <c r="AWU1" s="110"/>
      <c r="AWV1" s="110"/>
      <c r="AWW1" s="110"/>
      <c r="AWX1" s="110"/>
      <c r="AWY1" s="110"/>
      <c r="AWZ1" s="110"/>
      <c r="AXA1" s="110"/>
      <c r="AXB1" s="110"/>
      <c r="AXC1" s="110"/>
      <c r="AXD1" s="110"/>
      <c r="AXE1" s="110"/>
      <c r="AXF1" s="110"/>
      <c r="AXG1" s="110"/>
      <c r="AXH1" s="110"/>
      <c r="AXI1" s="110"/>
      <c r="AXJ1" s="110"/>
      <c r="AXK1" s="110"/>
      <c r="AXL1" s="110"/>
      <c r="AXM1" s="110"/>
      <c r="AXN1" s="110"/>
      <c r="AXO1" s="110"/>
      <c r="AXP1" s="110"/>
      <c r="AXQ1" s="110"/>
      <c r="AXR1" s="110"/>
      <c r="AXS1" s="110"/>
      <c r="AXT1" s="110"/>
      <c r="AXU1" s="110"/>
      <c r="AXV1" s="110"/>
      <c r="AXW1" s="110"/>
      <c r="AXX1" s="110"/>
      <c r="AXY1" s="110"/>
      <c r="AXZ1" s="110"/>
      <c r="AYA1" s="110"/>
      <c r="AYB1" s="110"/>
      <c r="AYC1" s="110"/>
      <c r="AYD1" s="110"/>
      <c r="AYE1" s="110"/>
      <c r="AYF1" s="110"/>
      <c r="AYG1" s="110"/>
      <c r="AYH1" s="110"/>
      <c r="AYI1" s="110"/>
      <c r="AYJ1" s="110"/>
      <c r="AYK1" s="110"/>
      <c r="AYL1" s="110"/>
      <c r="AYM1" s="110"/>
      <c r="AYN1" s="110"/>
      <c r="AYO1" s="110"/>
      <c r="AYP1" s="110"/>
      <c r="AYQ1" s="110"/>
      <c r="AYR1" s="110"/>
      <c r="AYS1" s="110"/>
      <c r="AYT1" s="110"/>
      <c r="AYU1" s="110"/>
      <c r="AYV1" s="110"/>
      <c r="AYW1" s="110"/>
      <c r="AYX1" s="110"/>
      <c r="AYY1" s="110"/>
      <c r="AYZ1" s="110"/>
      <c r="AZA1" s="110"/>
      <c r="AZB1" s="110"/>
      <c r="AZC1" s="110"/>
      <c r="AZD1" s="110"/>
      <c r="AZE1" s="110"/>
      <c r="AZF1" s="110"/>
      <c r="AZG1" s="110"/>
      <c r="AZH1" s="110"/>
      <c r="AZI1" s="110"/>
      <c r="AZJ1" s="110"/>
      <c r="AZK1" s="110"/>
      <c r="AZL1" s="110"/>
      <c r="AZM1" s="110"/>
      <c r="AZN1" s="110"/>
      <c r="AZO1" s="110"/>
      <c r="AZP1" s="110"/>
      <c r="AZQ1" s="110"/>
      <c r="AZR1" s="110"/>
      <c r="AZS1" s="110"/>
      <c r="AZT1" s="110"/>
      <c r="AZU1" s="110"/>
      <c r="AZV1" s="110"/>
      <c r="AZW1" s="110"/>
      <c r="AZX1" s="110"/>
      <c r="AZY1" s="110"/>
      <c r="AZZ1" s="110"/>
      <c r="BAA1" s="110"/>
      <c r="BAB1" s="110"/>
      <c r="BAC1" s="110"/>
      <c r="BAD1" s="110"/>
      <c r="BAE1" s="110"/>
      <c r="BAF1" s="110"/>
      <c r="BAG1" s="110"/>
      <c r="BAH1" s="110"/>
      <c r="BAI1" s="110"/>
      <c r="BAJ1" s="110"/>
      <c r="BAK1" s="110"/>
      <c r="BAL1" s="110"/>
      <c r="BAM1" s="110"/>
      <c r="BAN1" s="110"/>
      <c r="BAO1" s="110"/>
      <c r="BAP1" s="110"/>
      <c r="BAQ1" s="110"/>
      <c r="BAR1" s="110"/>
      <c r="BAS1" s="110"/>
      <c r="BAT1" s="110"/>
      <c r="BAU1" s="110"/>
      <c r="BAV1" s="110"/>
      <c r="BAW1" s="110"/>
      <c r="BAX1" s="110"/>
      <c r="BAY1" s="110"/>
      <c r="BAZ1" s="110"/>
      <c r="BBA1" s="110"/>
      <c r="BBB1" s="110"/>
      <c r="BBC1" s="110"/>
      <c r="BBD1" s="110"/>
      <c r="BBE1" s="110"/>
      <c r="BBF1" s="110"/>
      <c r="BBG1" s="110"/>
      <c r="BBH1" s="110"/>
      <c r="BBI1" s="110"/>
      <c r="BBJ1" s="110"/>
      <c r="BBK1" s="110"/>
      <c r="BBL1" s="110"/>
      <c r="BBM1" s="110"/>
      <c r="BBN1" s="110"/>
      <c r="BBO1" s="110"/>
      <c r="BBP1" s="110"/>
      <c r="BBQ1" s="110"/>
      <c r="BBR1" s="110"/>
      <c r="BBS1" s="110"/>
      <c r="BBT1" s="110"/>
      <c r="BBU1" s="110"/>
      <c r="BBV1" s="110"/>
      <c r="BBW1" s="110"/>
      <c r="BBX1" s="110"/>
      <c r="BBY1" s="110"/>
      <c r="BBZ1" s="110"/>
      <c r="BCA1" s="110"/>
      <c r="BCB1" s="110"/>
      <c r="BCC1" s="110"/>
      <c r="BCD1" s="110"/>
      <c r="BCE1" s="110"/>
      <c r="BCF1" s="110"/>
      <c r="BCG1" s="110"/>
      <c r="BCH1" s="110"/>
      <c r="BCI1" s="110"/>
      <c r="BCJ1" s="110"/>
      <c r="BCK1" s="110"/>
      <c r="BCL1" s="110"/>
      <c r="BCM1" s="110"/>
      <c r="BCN1" s="110"/>
      <c r="BCO1" s="110"/>
      <c r="BCP1" s="110"/>
      <c r="BCQ1" s="110"/>
      <c r="BCR1" s="110"/>
      <c r="BCS1" s="110"/>
      <c r="BCT1" s="110"/>
      <c r="BCU1" s="110"/>
      <c r="BCV1" s="110"/>
      <c r="BCW1" s="110"/>
      <c r="BCX1" s="110"/>
      <c r="BCY1" s="110"/>
      <c r="BCZ1" s="110"/>
      <c r="BDA1" s="110"/>
      <c r="BDB1" s="110"/>
      <c r="BDC1" s="110"/>
      <c r="BDD1" s="110"/>
      <c r="BDE1" s="110"/>
      <c r="BDF1" s="110"/>
      <c r="BDG1" s="110"/>
      <c r="BDH1" s="110"/>
      <c r="BDI1" s="110"/>
      <c r="BDJ1" s="110"/>
      <c r="BDK1" s="110"/>
      <c r="BDL1" s="110"/>
      <c r="BDM1" s="110"/>
      <c r="BDN1" s="110"/>
      <c r="BDO1" s="110"/>
      <c r="BDP1" s="110"/>
      <c r="BDQ1" s="110"/>
      <c r="BDR1" s="110"/>
      <c r="BDS1" s="110"/>
      <c r="BDT1" s="110"/>
      <c r="BDU1" s="110"/>
      <c r="BDV1" s="110"/>
      <c r="BDW1" s="110"/>
      <c r="BDX1" s="110"/>
      <c r="BDY1" s="110"/>
      <c r="BDZ1" s="110"/>
      <c r="BEA1" s="110"/>
      <c r="BEB1" s="110"/>
      <c r="BEC1" s="110"/>
      <c r="BED1" s="110"/>
      <c r="BEE1" s="110"/>
      <c r="BEF1" s="110"/>
      <c r="BEG1" s="110"/>
      <c r="BEH1" s="110"/>
      <c r="BEI1" s="110"/>
      <c r="BEJ1" s="110"/>
      <c r="BEK1" s="110"/>
      <c r="BEL1" s="110"/>
      <c r="BEM1" s="110"/>
      <c r="BEN1" s="110"/>
      <c r="BEO1" s="110"/>
      <c r="BEP1" s="110"/>
      <c r="BEQ1" s="110"/>
      <c r="BER1" s="110"/>
      <c r="BES1" s="110"/>
      <c r="BET1" s="110"/>
      <c r="BEU1" s="110"/>
      <c r="BEV1" s="110"/>
      <c r="BEW1" s="110"/>
      <c r="BEX1" s="110"/>
      <c r="BEY1" s="110"/>
      <c r="BEZ1" s="110"/>
      <c r="BFA1" s="110"/>
      <c r="BFB1" s="110"/>
      <c r="BFC1" s="110"/>
      <c r="BFD1" s="110"/>
      <c r="BFE1" s="110"/>
      <c r="BFF1" s="110"/>
      <c r="BFG1" s="110"/>
      <c r="BFH1" s="110"/>
      <c r="BFI1" s="110"/>
      <c r="BFJ1" s="110"/>
      <c r="BFK1" s="110"/>
      <c r="BFL1" s="110"/>
      <c r="BFM1" s="110"/>
      <c r="BFN1" s="110"/>
      <c r="BFO1" s="110"/>
      <c r="BFP1" s="110"/>
      <c r="BFQ1" s="110"/>
      <c r="BFR1" s="110"/>
      <c r="BFS1" s="110"/>
      <c r="BFT1" s="110"/>
      <c r="BFU1" s="110"/>
      <c r="BFV1" s="110"/>
      <c r="BFW1" s="110"/>
      <c r="BFX1" s="110"/>
      <c r="BFY1" s="110"/>
      <c r="BFZ1" s="110"/>
      <c r="BGA1" s="110"/>
      <c r="BGB1" s="110"/>
      <c r="BGC1" s="110"/>
      <c r="BGD1" s="110"/>
      <c r="BGE1" s="110"/>
      <c r="BGF1" s="110"/>
      <c r="BGG1" s="110"/>
      <c r="BGH1" s="110"/>
      <c r="BGI1" s="110"/>
      <c r="BGJ1" s="110"/>
      <c r="BGK1" s="110"/>
      <c r="BGL1" s="110"/>
      <c r="BGM1" s="110"/>
      <c r="BGN1" s="110"/>
      <c r="BGO1" s="110"/>
      <c r="BGP1" s="110"/>
      <c r="BGQ1" s="110"/>
      <c r="BGR1" s="110"/>
      <c r="BGS1" s="110"/>
      <c r="BGT1" s="110"/>
      <c r="BGU1" s="110"/>
      <c r="BGV1" s="110"/>
      <c r="BGW1" s="110"/>
      <c r="BGX1" s="110"/>
      <c r="BGY1" s="110"/>
      <c r="BGZ1" s="110"/>
      <c r="BHA1" s="110"/>
      <c r="BHB1" s="110"/>
      <c r="BHC1" s="110"/>
      <c r="BHD1" s="110"/>
      <c r="BHE1" s="110"/>
      <c r="BHF1" s="110"/>
      <c r="BHG1" s="110"/>
      <c r="BHH1" s="110"/>
      <c r="BHI1" s="110"/>
      <c r="BHJ1" s="110"/>
      <c r="BHK1" s="110"/>
      <c r="BHL1" s="110"/>
      <c r="BHM1" s="110"/>
      <c r="BHN1" s="110"/>
      <c r="BHO1" s="110"/>
      <c r="BHP1" s="110"/>
      <c r="BHQ1" s="110"/>
      <c r="BHR1" s="110"/>
      <c r="BHS1" s="110"/>
      <c r="BHT1" s="110"/>
      <c r="BHU1" s="110"/>
      <c r="BHV1" s="110"/>
      <c r="BHW1" s="110"/>
      <c r="BHX1" s="110"/>
      <c r="BHY1" s="110"/>
      <c r="BHZ1" s="110"/>
      <c r="BIA1" s="110"/>
      <c r="BIB1" s="110"/>
      <c r="BIC1" s="110"/>
      <c r="BID1" s="110"/>
      <c r="BIE1" s="110"/>
      <c r="BIF1" s="110"/>
      <c r="BIG1" s="110"/>
      <c r="BIH1" s="110"/>
      <c r="BII1" s="110"/>
      <c r="BIJ1" s="110"/>
      <c r="BIK1" s="110"/>
      <c r="BIL1" s="110"/>
      <c r="BIM1" s="110"/>
      <c r="BIN1" s="110"/>
      <c r="BIO1" s="110"/>
      <c r="BIP1" s="110"/>
      <c r="BIQ1" s="110"/>
      <c r="BIR1" s="110"/>
      <c r="BIS1" s="110"/>
      <c r="BIT1" s="110"/>
      <c r="BIU1" s="110"/>
      <c r="BIV1" s="110"/>
      <c r="BIW1" s="110"/>
      <c r="BIX1" s="110"/>
      <c r="BIY1" s="110"/>
      <c r="BIZ1" s="110"/>
      <c r="BJA1" s="110"/>
      <c r="BJB1" s="110"/>
      <c r="BJC1" s="110"/>
      <c r="BJD1" s="110"/>
      <c r="BJE1" s="110"/>
      <c r="BJF1" s="110"/>
      <c r="BJG1" s="110"/>
      <c r="BJH1" s="110"/>
      <c r="BJI1" s="110"/>
      <c r="BJJ1" s="110"/>
      <c r="BJK1" s="110"/>
      <c r="BJL1" s="110"/>
      <c r="BJM1" s="110"/>
      <c r="BJN1" s="110"/>
      <c r="BJO1" s="110"/>
      <c r="BJP1" s="110"/>
      <c r="BJQ1" s="110"/>
      <c r="BJR1" s="110"/>
      <c r="BJS1" s="110"/>
      <c r="BJT1" s="110"/>
      <c r="BJU1" s="110"/>
      <c r="BJV1" s="110"/>
      <c r="BJW1" s="110"/>
      <c r="BJX1" s="110"/>
      <c r="BJY1" s="110"/>
      <c r="BJZ1" s="110"/>
      <c r="BKA1" s="110"/>
      <c r="BKB1" s="110"/>
      <c r="BKC1" s="110"/>
      <c r="BKD1" s="110"/>
      <c r="BKE1" s="110"/>
      <c r="BKF1" s="110"/>
      <c r="BKG1" s="110"/>
      <c r="BKH1" s="110"/>
      <c r="BKI1" s="110"/>
      <c r="BKJ1" s="110"/>
      <c r="BKK1" s="110"/>
      <c r="BKL1" s="110"/>
      <c r="BKM1" s="110"/>
      <c r="BKN1" s="110"/>
      <c r="BKO1" s="110"/>
      <c r="BKP1" s="110"/>
      <c r="BKQ1" s="110"/>
      <c r="BKR1" s="110"/>
      <c r="BKS1" s="110"/>
      <c r="BKT1" s="110"/>
      <c r="BKU1" s="110"/>
      <c r="BKV1" s="110"/>
      <c r="BKW1" s="110"/>
      <c r="BKX1" s="110"/>
      <c r="BKY1" s="110"/>
      <c r="BKZ1" s="110"/>
      <c r="BLA1" s="110"/>
      <c r="BLB1" s="110"/>
      <c r="BLC1" s="110"/>
      <c r="BLD1" s="110"/>
      <c r="BLE1" s="110"/>
      <c r="BLF1" s="110"/>
      <c r="BLG1" s="110"/>
      <c r="BLH1" s="110"/>
      <c r="BLI1" s="110"/>
      <c r="BLJ1" s="110"/>
      <c r="BLK1" s="110"/>
      <c r="BLL1" s="110"/>
      <c r="BLM1" s="110"/>
      <c r="BLN1" s="110"/>
      <c r="BLO1" s="110"/>
      <c r="BLP1" s="110"/>
      <c r="BLQ1" s="110"/>
      <c r="BLR1" s="110"/>
      <c r="BLS1" s="110"/>
      <c r="BLT1" s="110"/>
      <c r="BLU1" s="110"/>
      <c r="BLV1" s="110"/>
      <c r="BLW1" s="110"/>
      <c r="BLX1" s="110"/>
      <c r="BLY1" s="110"/>
      <c r="BLZ1" s="110"/>
      <c r="BMA1" s="110"/>
      <c r="BMB1" s="110"/>
      <c r="BMC1" s="110"/>
      <c r="BMD1" s="110"/>
      <c r="BME1" s="110"/>
      <c r="BMF1" s="110"/>
      <c r="BMG1" s="110"/>
      <c r="BMH1" s="110"/>
      <c r="BMI1" s="110"/>
      <c r="BMJ1" s="110"/>
      <c r="BMK1" s="110"/>
      <c r="BML1" s="110"/>
      <c r="BMM1" s="110"/>
      <c r="BMN1" s="110"/>
      <c r="BMO1" s="110"/>
      <c r="BMP1" s="110"/>
      <c r="BMQ1" s="110"/>
      <c r="BMR1" s="110"/>
      <c r="BMS1" s="110"/>
      <c r="BMT1" s="110"/>
      <c r="BMU1" s="110"/>
      <c r="BMV1" s="110"/>
      <c r="BMW1" s="110"/>
      <c r="BMX1" s="110"/>
      <c r="BMY1" s="110"/>
      <c r="BMZ1" s="110"/>
      <c r="BNA1" s="110"/>
      <c r="BNB1" s="110"/>
      <c r="BNC1" s="110"/>
      <c r="BND1" s="110"/>
      <c r="BNE1" s="110"/>
      <c r="BNF1" s="110"/>
      <c r="BNG1" s="110"/>
      <c r="BNH1" s="110"/>
      <c r="BNI1" s="110"/>
      <c r="BNJ1" s="110"/>
      <c r="BNK1" s="110"/>
      <c r="BNL1" s="110"/>
      <c r="BNM1" s="110"/>
      <c r="BNN1" s="110"/>
      <c r="BNO1" s="110"/>
      <c r="BNP1" s="110"/>
      <c r="BNQ1" s="110"/>
      <c r="BNR1" s="110"/>
      <c r="BNS1" s="110"/>
      <c r="BNT1" s="110"/>
      <c r="BNU1" s="110"/>
      <c r="BNV1" s="110"/>
      <c r="BNW1" s="110"/>
      <c r="BNX1" s="110"/>
      <c r="BNY1" s="110"/>
      <c r="BNZ1" s="110"/>
      <c r="BOA1" s="110"/>
      <c r="BOB1" s="110"/>
      <c r="BOC1" s="110"/>
      <c r="BOD1" s="110"/>
      <c r="BOE1" s="110"/>
      <c r="BOF1" s="110"/>
      <c r="BOG1" s="110"/>
      <c r="BOH1" s="110"/>
      <c r="BOI1" s="110"/>
      <c r="BOJ1" s="110"/>
      <c r="BOK1" s="110"/>
      <c r="BOL1" s="110"/>
      <c r="BOM1" s="110"/>
      <c r="BON1" s="110"/>
      <c r="BOO1" s="110"/>
      <c r="BOP1" s="110"/>
      <c r="BOQ1" s="110"/>
      <c r="BOR1" s="110"/>
      <c r="BOS1" s="110"/>
      <c r="BOT1" s="110"/>
      <c r="BOU1" s="110"/>
      <c r="BOV1" s="110"/>
      <c r="BOW1" s="110"/>
      <c r="BOX1" s="110"/>
      <c r="BOY1" s="110"/>
      <c r="BOZ1" s="110"/>
      <c r="BPA1" s="110"/>
      <c r="BPB1" s="110"/>
      <c r="BPC1" s="110"/>
      <c r="BPD1" s="110"/>
      <c r="BPE1" s="110"/>
      <c r="BPF1" s="110"/>
      <c r="BPG1" s="110"/>
      <c r="BPH1" s="110"/>
      <c r="BPI1" s="110"/>
      <c r="BPJ1" s="110"/>
      <c r="BPK1" s="110"/>
      <c r="BPL1" s="110"/>
      <c r="BPM1" s="110"/>
      <c r="BPN1" s="110"/>
      <c r="BPO1" s="110"/>
      <c r="BPP1" s="110"/>
      <c r="BPQ1" s="110"/>
      <c r="BPR1" s="110"/>
      <c r="BPS1" s="110"/>
      <c r="BPT1" s="110"/>
      <c r="BPU1" s="110"/>
      <c r="BPV1" s="110"/>
      <c r="BPW1" s="110"/>
      <c r="BPX1" s="110"/>
      <c r="BPY1" s="110"/>
      <c r="BPZ1" s="110"/>
      <c r="BQA1" s="110"/>
      <c r="BQB1" s="110"/>
      <c r="BQC1" s="110"/>
      <c r="BQD1" s="110"/>
      <c r="BQE1" s="110"/>
      <c r="BQF1" s="110"/>
      <c r="BQG1" s="110"/>
      <c r="BQH1" s="110"/>
      <c r="BQI1" s="110"/>
      <c r="BQJ1" s="110"/>
      <c r="BQK1" s="110"/>
      <c r="BQL1" s="110"/>
      <c r="BQM1" s="110"/>
      <c r="BQN1" s="110"/>
      <c r="BQO1" s="110"/>
      <c r="BQP1" s="110"/>
      <c r="BQQ1" s="110"/>
      <c r="BQR1" s="110"/>
      <c r="BQS1" s="110"/>
      <c r="BQT1" s="110"/>
      <c r="BQU1" s="110"/>
      <c r="BQV1" s="110"/>
      <c r="BQW1" s="110"/>
      <c r="BQX1" s="110"/>
      <c r="BQY1" s="110"/>
      <c r="BQZ1" s="110"/>
      <c r="BRA1" s="110"/>
      <c r="BRB1" s="110"/>
      <c r="BRC1" s="110"/>
      <c r="BRD1" s="110"/>
      <c r="BRE1" s="110"/>
      <c r="BRF1" s="110"/>
      <c r="BRG1" s="110"/>
      <c r="BRH1" s="110"/>
      <c r="BRI1" s="110"/>
      <c r="BRJ1" s="110"/>
      <c r="BRK1" s="110"/>
      <c r="BRL1" s="110"/>
      <c r="BRM1" s="110"/>
      <c r="BRN1" s="110"/>
      <c r="BRO1" s="110"/>
      <c r="BRP1" s="110"/>
      <c r="BRQ1" s="110"/>
      <c r="BRR1" s="110"/>
      <c r="BRS1" s="110"/>
      <c r="BRT1" s="110"/>
      <c r="BRU1" s="110"/>
      <c r="BRV1" s="110"/>
      <c r="BRW1" s="110"/>
      <c r="BRX1" s="110"/>
      <c r="BRY1" s="110"/>
      <c r="BRZ1" s="110"/>
      <c r="BSA1" s="110"/>
      <c r="BSB1" s="110"/>
      <c r="BSC1" s="110"/>
      <c r="BSD1" s="110"/>
      <c r="BSE1" s="110"/>
      <c r="BSF1" s="110"/>
      <c r="BSG1" s="110"/>
      <c r="BSH1" s="110"/>
      <c r="BSI1" s="110"/>
      <c r="BSJ1" s="110"/>
      <c r="BSK1" s="110"/>
      <c r="BSL1" s="110"/>
      <c r="BSM1" s="110"/>
      <c r="BSN1" s="110"/>
      <c r="BSO1" s="110"/>
      <c r="BSP1" s="110"/>
      <c r="BSQ1" s="110"/>
      <c r="BSR1" s="110"/>
      <c r="BSS1" s="110"/>
      <c r="BST1" s="110"/>
      <c r="BSU1" s="110"/>
      <c r="BSV1" s="110"/>
      <c r="BSW1" s="110"/>
      <c r="BSX1" s="110"/>
      <c r="BSY1" s="110"/>
      <c r="BSZ1" s="110"/>
      <c r="BTA1" s="110"/>
      <c r="BTB1" s="110"/>
      <c r="BTC1" s="110"/>
      <c r="BTD1" s="110"/>
      <c r="BTE1" s="110"/>
      <c r="BTF1" s="110"/>
      <c r="BTG1" s="110"/>
      <c r="BTH1" s="110"/>
      <c r="BTI1" s="110"/>
      <c r="BTJ1" s="110"/>
      <c r="BTK1" s="110"/>
      <c r="BTL1" s="110"/>
      <c r="BTM1" s="110"/>
      <c r="BTN1" s="110"/>
      <c r="BTO1" s="110"/>
      <c r="BTP1" s="110"/>
      <c r="BTQ1" s="110"/>
      <c r="BTR1" s="110"/>
      <c r="BTS1" s="110"/>
      <c r="BTT1" s="110"/>
      <c r="BTU1" s="110"/>
      <c r="BTV1" s="110"/>
      <c r="BTW1" s="110"/>
      <c r="BTX1" s="110"/>
      <c r="BTY1" s="110"/>
      <c r="BTZ1" s="110"/>
      <c r="BUA1" s="110"/>
      <c r="BUB1" s="110"/>
      <c r="BUC1" s="110"/>
      <c r="BUD1" s="110"/>
      <c r="BUE1" s="110"/>
      <c r="BUF1" s="110"/>
      <c r="BUG1" s="110"/>
      <c r="BUH1" s="110"/>
      <c r="BUI1" s="110"/>
      <c r="BUJ1" s="110"/>
      <c r="BUK1" s="110"/>
      <c r="BUL1" s="110"/>
      <c r="BUM1" s="110"/>
      <c r="BUN1" s="110"/>
      <c r="BUO1" s="110"/>
      <c r="BUP1" s="110"/>
      <c r="BUQ1" s="110"/>
      <c r="BUR1" s="110"/>
      <c r="BUS1" s="110"/>
      <c r="BUT1" s="110"/>
      <c r="BUU1" s="110"/>
      <c r="BUV1" s="110"/>
      <c r="BUW1" s="110"/>
      <c r="BUX1" s="110"/>
      <c r="BUY1" s="110"/>
      <c r="BUZ1" s="110"/>
      <c r="BVA1" s="110"/>
      <c r="BVB1" s="110"/>
      <c r="BVC1" s="110"/>
      <c r="BVD1" s="110"/>
      <c r="BVE1" s="110"/>
      <c r="BVF1" s="110"/>
      <c r="BVG1" s="110"/>
      <c r="BVH1" s="110"/>
      <c r="BVI1" s="110"/>
      <c r="BVJ1" s="110"/>
      <c r="BVK1" s="110"/>
      <c r="BVL1" s="110"/>
      <c r="BVM1" s="110"/>
      <c r="BVN1" s="110"/>
      <c r="BVO1" s="110"/>
      <c r="BVP1" s="110"/>
      <c r="BVQ1" s="110"/>
      <c r="BVR1" s="110"/>
      <c r="BVS1" s="110"/>
      <c r="BVT1" s="110"/>
      <c r="BVU1" s="110"/>
      <c r="BVV1" s="110"/>
      <c r="BVW1" s="110"/>
      <c r="BVX1" s="110"/>
      <c r="BVY1" s="110"/>
      <c r="BVZ1" s="110"/>
      <c r="BWA1" s="110"/>
      <c r="BWB1" s="110"/>
      <c r="BWC1" s="110"/>
      <c r="BWD1" s="110"/>
      <c r="BWE1" s="110"/>
      <c r="BWF1" s="110"/>
      <c r="BWG1" s="110"/>
      <c r="BWH1" s="110"/>
      <c r="BWI1" s="110"/>
      <c r="BWJ1" s="110"/>
      <c r="BWK1" s="110"/>
      <c r="BWL1" s="110"/>
      <c r="BWM1" s="110"/>
      <c r="BWN1" s="110"/>
      <c r="BWO1" s="110"/>
      <c r="BWP1" s="110"/>
      <c r="BWQ1" s="110"/>
      <c r="BWR1" s="110"/>
      <c r="BWS1" s="110"/>
      <c r="BWT1" s="110"/>
      <c r="BWU1" s="110"/>
      <c r="BWV1" s="110"/>
      <c r="BWW1" s="110"/>
      <c r="BWX1" s="110"/>
      <c r="BWY1" s="110"/>
      <c r="BWZ1" s="110"/>
      <c r="BXA1" s="110"/>
      <c r="BXB1" s="110"/>
      <c r="BXC1" s="110"/>
      <c r="BXD1" s="110"/>
      <c r="BXE1" s="110"/>
      <c r="BXF1" s="110"/>
      <c r="BXG1" s="110"/>
      <c r="BXH1" s="110"/>
      <c r="BXI1" s="110"/>
      <c r="BXJ1" s="110"/>
      <c r="BXK1" s="110"/>
      <c r="BXL1" s="110"/>
      <c r="BXM1" s="110"/>
      <c r="BXN1" s="110"/>
      <c r="BXO1" s="110"/>
      <c r="BXP1" s="110"/>
      <c r="BXQ1" s="110"/>
      <c r="BXR1" s="110"/>
      <c r="BXS1" s="110"/>
      <c r="BXT1" s="110"/>
      <c r="BXU1" s="110"/>
      <c r="BXV1" s="110"/>
      <c r="BXW1" s="110"/>
      <c r="BXX1" s="110"/>
      <c r="BXY1" s="110"/>
      <c r="BXZ1" s="110"/>
      <c r="BYA1" s="110"/>
      <c r="BYB1" s="110"/>
      <c r="BYC1" s="110"/>
      <c r="BYD1" s="110"/>
      <c r="BYE1" s="110"/>
      <c r="BYF1" s="110"/>
      <c r="BYG1" s="110"/>
      <c r="BYH1" s="110"/>
      <c r="BYI1" s="110"/>
      <c r="BYJ1" s="110"/>
      <c r="BYK1" s="110"/>
      <c r="BYL1" s="110"/>
      <c r="BYM1" s="110"/>
      <c r="BYN1" s="110"/>
      <c r="BYO1" s="110"/>
      <c r="BYP1" s="110"/>
      <c r="BYQ1" s="110"/>
      <c r="BYR1" s="110"/>
      <c r="BYS1" s="110"/>
      <c r="BYT1" s="110"/>
      <c r="BYU1" s="110"/>
      <c r="BYV1" s="110"/>
      <c r="BYW1" s="110"/>
      <c r="BYX1" s="110"/>
      <c r="BYY1" s="110"/>
      <c r="BYZ1" s="110"/>
      <c r="BZA1" s="110"/>
      <c r="BZB1" s="110"/>
      <c r="BZC1" s="110"/>
      <c r="BZD1" s="110"/>
      <c r="BZE1" s="110"/>
      <c r="BZF1" s="110"/>
      <c r="BZG1" s="110"/>
      <c r="BZH1" s="110"/>
      <c r="BZI1" s="110"/>
      <c r="BZJ1" s="110"/>
      <c r="BZK1" s="110"/>
      <c r="BZL1" s="110"/>
      <c r="BZM1" s="110"/>
      <c r="BZN1" s="110"/>
      <c r="BZO1" s="110"/>
      <c r="BZP1" s="110"/>
      <c r="BZQ1" s="110"/>
      <c r="BZR1" s="110"/>
      <c r="BZS1" s="110"/>
      <c r="BZT1" s="110"/>
      <c r="BZU1" s="110"/>
      <c r="BZV1" s="110"/>
      <c r="BZW1" s="110"/>
      <c r="BZX1" s="110"/>
      <c r="BZY1" s="110"/>
      <c r="BZZ1" s="110"/>
      <c r="CAA1" s="110"/>
      <c r="CAB1" s="110"/>
      <c r="CAC1" s="110"/>
      <c r="CAD1" s="110"/>
      <c r="CAE1" s="110"/>
      <c r="CAF1" s="110"/>
      <c r="CAG1" s="110"/>
      <c r="CAH1" s="110"/>
      <c r="CAI1" s="110"/>
      <c r="CAJ1" s="110"/>
      <c r="CAK1" s="110"/>
      <c r="CAL1" s="110"/>
      <c r="CAM1" s="110"/>
      <c r="CAN1" s="110"/>
      <c r="CAO1" s="110"/>
      <c r="CAP1" s="110"/>
      <c r="CAQ1" s="110"/>
      <c r="CAR1" s="110"/>
      <c r="CAS1" s="110"/>
      <c r="CAT1" s="110"/>
      <c r="CAU1" s="110"/>
      <c r="CAV1" s="110"/>
      <c r="CAW1" s="110"/>
      <c r="CAX1" s="110"/>
      <c r="CAY1" s="110"/>
      <c r="CAZ1" s="110"/>
      <c r="CBA1" s="110"/>
      <c r="CBB1" s="110"/>
      <c r="CBC1" s="110"/>
      <c r="CBD1" s="110"/>
      <c r="CBE1" s="110"/>
      <c r="CBF1" s="110"/>
      <c r="CBG1" s="110"/>
      <c r="CBH1" s="110"/>
      <c r="CBI1" s="110"/>
      <c r="CBJ1" s="110"/>
      <c r="CBK1" s="110"/>
      <c r="CBL1" s="110"/>
      <c r="CBM1" s="110"/>
      <c r="CBN1" s="110"/>
      <c r="CBO1" s="110"/>
      <c r="CBP1" s="110"/>
      <c r="CBQ1" s="110"/>
      <c r="CBR1" s="110"/>
      <c r="CBS1" s="110"/>
      <c r="CBT1" s="110"/>
      <c r="CBU1" s="110"/>
      <c r="CBV1" s="110"/>
      <c r="CBW1" s="110"/>
      <c r="CBX1" s="110"/>
      <c r="CBY1" s="110"/>
      <c r="CBZ1" s="110"/>
      <c r="CCA1" s="110"/>
      <c r="CCB1" s="110"/>
      <c r="CCC1" s="110"/>
      <c r="CCD1" s="110"/>
      <c r="CCE1" s="110"/>
      <c r="CCF1" s="110"/>
      <c r="CCG1" s="110"/>
      <c r="CCH1" s="110"/>
      <c r="CCI1" s="110"/>
      <c r="CCJ1" s="110"/>
      <c r="CCK1" s="110"/>
      <c r="CCL1" s="110"/>
      <c r="CCM1" s="110"/>
      <c r="CCN1" s="110"/>
      <c r="CCO1" s="110"/>
      <c r="CCP1" s="110"/>
      <c r="CCQ1" s="110"/>
      <c r="CCR1" s="110"/>
      <c r="CCS1" s="110"/>
      <c r="CCT1" s="110"/>
      <c r="CCU1" s="110"/>
      <c r="CCV1" s="110"/>
      <c r="CCW1" s="110"/>
      <c r="CCX1" s="110"/>
      <c r="CCY1" s="110"/>
      <c r="CCZ1" s="110"/>
      <c r="CDA1" s="110"/>
      <c r="CDB1" s="110"/>
      <c r="CDC1" s="110"/>
      <c r="CDD1" s="110"/>
      <c r="CDE1" s="110"/>
      <c r="CDF1" s="110"/>
      <c r="CDG1" s="110"/>
      <c r="CDH1" s="110"/>
      <c r="CDI1" s="110"/>
      <c r="CDJ1" s="110"/>
      <c r="CDK1" s="110"/>
      <c r="CDL1" s="110"/>
      <c r="CDM1" s="110"/>
      <c r="CDN1" s="110"/>
      <c r="CDO1" s="110"/>
      <c r="CDP1" s="110"/>
      <c r="CDQ1" s="110"/>
      <c r="CDR1" s="110"/>
      <c r="CDS1" s="110"/>
      <c r="CDT1" s="110"/>
      <c r="CDU1" s="110"/>
      <c r="CDV1" s="110"/>
      <c r="CDW1" s="110"/>
      <c r="CDX1" s="110"/>
      <c r="CDY1" s="110"/>
      <c r="CDZ1" s="110"/>
      <c r="CEA1" s="110"/>
      <c r="CEB1" s="110"/>
      <c r="CEC1" s="110"/>
      <c r="CED1" s="110"/>
      <c r="CEE1" s="110"/>
      <c r="CEF1" s="110"/>
      <c r="CEG1" s="110"/>
      <c r="CEH1" s="110"/>
      <c r="CEI1" s="110"/>
      <c r="CEJ1" s="110"/>
      <c r="CEK1" s="110"/>
      <c r="CEL1" s="110"/>
      <c r="CEM1" s="110"/>
      <c r="CEN1" s="110"/>
      <c r="CEO1" s="110"/>
      <c r="CEP1" s="110"/>
      <c r="CEQ1" s="110"/>
      <c r="CER1" s="110"/>
      <c r="CES1" s="110"/>
      <c r="CET1" s="110"/>
      <c r="CEU1" s="110"/>
      <c r="CEV1" s="110"/>
      <c r="CEW1" s="110"/>
      <c r="CEX1" s="110"/>
      <c r="CEY1" s="110"/>
      <c r="CEZ1" s="110"/>
      <c r="CFA1" s="110"/>
      <c r="CFB1" s="110"/>
      <c r="CFC1" s="110"/>
      <c r="CFD1" s="110"/>
      <c r="CFE1" s="110"/>
      <c r="CFF1" s="110"/>
      <c r="CFG1" s="110"/>
      <c r="CFH1" s="110"/>
      <c r="CFI1" s="110"/>
      <c r="CFJ1" s="110"/>
      <c r="CFK1" s="110"/>
      <c r="CFL1" s="110"/>
      <c r="CFM1" s="110"/>
      <c r="CFN1" s="110"/>
      <c r="CFO1" s="110"/>
      <c r="CFP1" s="110"/>
      <c r="CFQ1" s="110"/>
      <c r="CFR1" s="110"/>
      <c r="CFS1" s="110"/>
      <c r="CFT1" s="110"/>
      <c r="CFU1" s="110"/>
      <c r="CFV1" s="110"/>
      <c r="CFW1" s="110"/>
      <c r="CFX1" s="110"/>
      <c r="CFY1" s="110"/>
      <c r="CFZ1" s="110"/>
      <c r="CGA1" s="110"/>
      <c r="CGB1" s="110"/>
      <c r="CGC1" s="110"/>
      <c r="CGD1" s="110"/>
      <c r="CGE1" s="110"/>
      <c r="CGF1" s="110"/>
      <c r="CGG1" s="110"/>
      <c r="CGH1" s="110"/>
      <c r="CGI1" s="110"/>
      <c r="CGJ1" s="110"/>
      <c r="CGK1" s="110"/>
      <c r="CGL1" s="110"/>
      <c r="CGM1" s="110"/>
      <c r="CGN1" s="110"/>
      <c r="CGO1" s="110"/>
      <c r="CGP1" s="110"/>
      <c r="CGQ1" s="110"/>
      <c r="CGR1" s="110"/>
      <c r="CGS1" s="110"/>
      <c r="CGT1" s="110"/>
      <c r="CGU1" s="110"/>
      <c r="CGV1" s="110"/>
      <c r="CGW1" s="110"/>
      <c r="CGX1" s="110"/>
      <c r="CGY1" s="110"/>
      <c r="CGZ1" s="110"/>
      <c r="CHA1" s="110"/>
      <c r="CHB1" s="110"/>
      <c r="CHC1" s="110"/>
      <c r="CHD1" s="110"/>
      <c r="CHE1" s="110"/>
      <c r="CHF1" s="110"/>
      <c r="CHG1" s="110"/>
      <c r="CHH1" s="110"/>
      <c r="CHI1" s="110"/>
      <c r="CHJ1" s="110"/>
      <c r="CHK1" s="110"/>
      <c r="CHL1" s="110"/>
      <c r="CHM1" s="110"/>
      <c r="CHN1" s="110"/>
      <c r="CHO1" s="110"/>
      <c r="CHP1" s="110"/>
      <c r="CHQ1" s="110"/>
      <c r="CHR1" s="110"/>
      <c r="CHS1" s="110"/>
      <c r="CHT1" s="110"/>
      <c r="CHU1" s="110"/>
      <c r="CHV1" s="110"/>
      <c r="CHW1" s="110"/>
      <c r="CHX1" s="110"/>
      <c r="CHY1" s="110"/>
      <c r="CHZ1" s="110"/>
      <c r="CIA1" s="110"/>
      <c r="CIB1" s="110"/>
      <c r="CIC1" s="110"/>
      <c r="CID1" s="110"/>
      <c r="CIE1" s="110"/>
      <c r="CIF1" s="110"/>
      <c r="CIG1" s="110"/>
      <c r="CIH1" s="110"/>
      <c r="CII1" s="110"/>
      <c r="CIJ1" s="110"/>
      <c r="CIK1" s="110"/>
      <c r="CIL1" s="110"/>
      <c r="CIM1" s="110"/>
      <c r="CIN1" s="110"/>
      <c r="CIO1" s="110"/>
      <c r="CIP1" s="110"/>
      <c r="CIQ1" s="110"/>
      <c r="CIR1" s="110"/>
      <c r="CIS1" s="110"/>
      <c r="CIT1" s="110"/>
      <c r="CIU1" s="110"/>
      <c r="CIV1" s="110"/>
      <c r="CIW1" s="110"/>
      <c r="CIX1" s="110"/>
      <c r="CIY1" s="110"/>
      <c r="CIZ1" s="110"/>
      <c r="CJA1" s="110"/>
      <c r="CJB1" s="110"/>
      <c r="CJC1" s="110"/>
      <c r="CJD1" s="110"/>
      <c r="CJE1" s="110"/>
      <c r="CJF1" s="110"/>
      <c r="CJG1" s="110"/>
      <c r="CJH1" s="110"/>
      <c r="CJI1" s="110"/>
      <c r="CJJ1" s="110"/>
      <c r="CJK1" s="110"/>
      <c r="CJL1" s="110"/>
      <c r="CJM1" s="110"/>
      <c r="CJN1" s="110"/>
      <c r="CJO1" s="110"/>
      <c r="CJP1" s="110"/>
      <c r="CJQ1" s="110"/>
      <c r="CJR1" s="110"/>
      <c r="CJS1" s="110"/>
      <c r="CJT1" s="110"/>
      <c r="CJU1" s="110"/>
      <c r="CJV1" s="110"/>
      <c r="CJW1" s="110"/>
      <c r="CJX1" s="110"/>
      <c r="CJY1" s="110"/>
      <c r="CJZ1" s="110"/>
      <c r="CKA1" s="110"/>
      <c r="CKB1" s="110"/>
      <c r="CKC1" s="110"/>
      <c r="CKD1" s="110"/>
      <c r="CKE1" s="110"/>
      <c r="CKF1" s="110"/>
      <c r="CKG1" s="110"/>
      <c r="CKH1" s="110"/>
      <c r="CKI1" s="110"/>
      <c r="CKJ1" s="110"/>
      <c r="CKK1" s="110"/>
      <c r="CKL1" s="110"/>
      <c r="CKM1" s="110"/>
      <c r="CKN1" s="110"/>
      <c r="CKO1" s="110"/>
      <c r="CKP1" s="110"/>
      <c r="CKQ1" s="110"/>
      <c r="CKR1" s="110"/>
      <c r="CKS1" s="110"/>
      <c r="CKT1" s="110"/>
      <c r="CKU1" s="110"/>
      <c r="CKV1" s="110"/>
      <c r="CKW1" s="110"/>
      <c r="CKX1" s="110"/>
      <c r="CKY1" s="110"/>
      <c r="CKZ1" s="110"/>
      <c r="CLA1" s="110"/>
      <c r="CLB1" s="110"/>
      <c r="CLC1" s="110"/>
      <c r="CLD1" s="110"/>
      <c r="CLE1" s="110"/>
      <c r="CLF1" s="110"/>
      <c r="CLG1" s="110"/>
      <c r="CLH1" s="110"/>
      <c r="CLI1" s="110"/>
      <c r="CLJ1" s="110"/>
      <c r="CLK1" s="110"/>
      <c r="CLL1" s="110"/>
      <c r="CLM1" s="110"/>
      <c r="CLN1" s="110"/>
      <c r="CLO1" s="110"/>
      <c r="CLP1" s="110"/>
      <c r="CLQ1" s="110"/>
      <c r="CLR1" s="110"/>
      <c r="CLS1" s="110"/>
      <c r="CLT1" s="110"/>
      <c r="CLU1" s="110"/>
      <c r="CLV1" s="110"/>
      <c r="CLW1" s="110"/>
      <c r="CLX1" s="110"/>
      <c r="CLY1" s="110"/>
      <c r="CLZ1" s="110"/>
      <c r="CMA1" s="110"/>
      <c r="CMB1" s="110"/>
      <c r="CMC1" s="110"/>
      <c r="CMD1" s="110"/>
      <c r="CME1" s="110"/>
      <c r="CMF1" s="110"/>
      <c r="CMG1" s="110"/>
      <c r="CMH1" s="110"/>
      <c r="CMI1" s="110"/>
      <c r="CMJ1" s="110"/>
      <c r="CMK1" s="110"/>
      <c r="CML1" s="110"/>
      <c r="CMM1" s="110"/>
      <c r="CMN1" s="110"/>
      <c r="CMO1" s="110"/>
      <c r="CMP1" s="110"/>
      <c r="CMQ1" s="110"/>
      <c r="CMR1" s="110"/>
      <c r="CMS1" s="110"/>
      <c r="CMT1" s="110"/>
      <c r="CMU1" s="110"/>
      <c r="CMV1" s="110"/>
      <c r="CMW1" s="110"/>
      <c r="CMX1" s="110"/>
      <c r="CMY1" s="110"/>
      <c r="CMZ1" s="110"/>
      <c r="CNA1" s="110"/>
      <c r="CNB1" s="110"/>
      <c r="CNC1" s="110"/>
      <c r="CND1" s="110"/>
      <c r="CNE1" s="110"/>
      <c r="CNF1" s="110"/>
      <c r="CNG1" s="110"/>
      <c r="CNH1" s="110"/>
      <c r="CNI1" s="110"/>
      <c r="CNJ1" s="110"/>
      <c r="CNK1" s="110"/>
      <c r="CNL1" s="110"/>
      <c r="CNM1" s="110"/>
      <c r="CNN1" s="110"/>
      <c r="CNO1" s="110"/>
      <c r="CNP1" s="110"/>
      <c r="CNQ1" s="110"/>
      <c r="CNR1" s="110"/>
      <c r="CNS1" s="110"/>
      <c r="CNT1" s="110"/>
      <c r="CNU1" s="110"/>
      <c r="CNV1" s="110"/>
      <c r="CNW1" s="110"/>
      <c r="CNX1" s="110"/>
      <c r="CNY1" s="110"/>
      <c r="CNZ1" s="110"/>
      <c r="COA1" s="110"/>
      <c r="COB1" s="110"/>
      <c r="COC1" s="110"/>
      <c r="COD1" s="110"/>
      <c r="COE1" s="110"/>
      <c r="COF1" s="110"/>
      <c r="COG1" s="110"/>
      <c r="COH1" s="110"/>
      <c r="COI1" s="110"/>
      <c r="COJ1" s="110"/>
      <c r="COK1" s="110"/>
      <c r="COL1" s="110"/>
      <c r="COM1" s="110"/>
      <c r="CON1" s="110"/>
      <c r="COO1" s="110"/>
      <c r="COP1" s="110"/>
      <c r="COQ1" s="110"/>
      <c r="COR1" s="110"/>
      <c r="COS1" s="110"/>
      <c r="COT1" s="110"/>
      <c r="COU1" s="110"/>
      <c r="COV1" s="110"/>
      <c r="COW1" s="110"/>
      <c r="COX1" s="110"/>
      <c r="COY1" s="110"/>
      <c r="COZ1" s="110"/>
      <c r="CPA1" s="110"/>
      <c r="CPB1" s="110"/>
      <c r="CPC1" s="110"/>
      <c r="CPD1" s="110"/>
      <c r="CPE1" s="110"/>
      <c r="CPF1" s="110"/>
      <c r="CPG1" s="110"/>
      <c r="CPH1" s="110"/>
      <c r="CPI1" s="110"/>
      <c r="CPJ1" s="110"/>
      <c r="CPK1" s="110"/>
      <c r="CPL1" s="110"/>
      <c r="CPM1" s="110"/>
      <c r="CPN1" s="110"/>
      <c r="CPO1" s="110"/>
      <c r="CPP1" s="110"/>
      <c r="CPQ1" s="110"/>
      <c r="CPR1" s="110"/>
      <c r="CPS1" s="110"/>
      <c r="CPT1" s="110"/>
      <c r="CPU1" s="110"/>
      <c r="CPV1" s="110"/>
      <c r="CPW1" s="110"/>
      <c r="CPX1" s="110"/>
      <c r="CPY1" s="110"/>
      <c r="CPZ1" s="110"/>
      <c r="CQA1" s="110"/>
      <c r="CQB1" s="110"/>
      <c r="CQC1" s="110"/>
      <c r="CQD1" s="110"/>
      <c r="CQE1" s="110"/>
      <c r="CQF1" s="110"/>
      <c r="CQG1" s="110"/>
      <c r="CQH1" s="110"/>
      <c r="CQI1" s="110"/>
      <c r="CQJ1" s="110"/>
      <c r="CQK1" s="110"/>
      <c r="CQL1" s="110"/>
      <c r="CQM1" s="110"/>
      <c r="CQN1" s="110"/>
      <c r="CQO1" s="110"/>
      <c r="CQP1" s="110"/>
      <c r="CQQ1" s="110"/>
      <c r="CQR1" s="110"/>
      <c r="CQS1" s="110"/>
      <c r="CQT1" s="110"/>
      <c r="CQU1" s="110"/>
      <c r="CQV1" s="110"/>
      <c r="CQW1" s="110"/>
      <c r="CQX1" s="110"/>
      <c r="CQY1" s="110"/>
      <c r="CQZ1" s="110"/>
      <c r="CRA1" s="110"/>
      <c r="CRB1" s="110"/>
      <c r="CRC1" s="110"/>
      <c r="CRD1" s="110"/>
      <c r="CRE1" s="110"/>
      <c r="CRF1" s="110"/>
      <c r="CRG1" s="110"/>
      <c r="CRH1" s="110"/>
      <c r="CRI1" s="110"/>
      <c r="CRJ1" s="110"/>
      <c r="CRK1" s="110"/>
      <c r="CRL1" s="110"/>
      <c r="CRM1" s="110"/>
      <c r="CRN1" s="110"/>
      <c r="CRO1" s="110"/>
      <c r="CRP1" s="110"/>
      <c r="CRQ1" s="110"/>
      <c r="CRR1" s="110"/>
      <c r="CRS1" s="110"/>
      <c r="CRT1" s="110"/>
      <c r="CRU1" s="110"/>
      <c r="CRV1" s="110"/>
      <c r="CRW1" s="110"/>
      <c r="CRX1" s="110"/>
      <c r="CRY1" s="110"/>
      <c r="CRZ1" s="110"/>
      <c r="CSA1" s="110"/>
      <c r="CSB1" s="110"/>
      <c r="CSC1" s="110"/>
      <c r="CSD1" s="110"/>
      <c r="CSE1" s="110"/>
      <c r="CSF1" s="110"/>
      <c r="CSG1" s="110"/>
      <c r="CSH1" s="110"/>
      <c r="CSI1" s="110"/>
      <c r="CSJ1" s="110"/>
      <c r="CSK1" s="110"/>
      <c r="CSL1" s="110"/>
      <c r="CSM1" s="110"/>
      <c r="CSN1" s="110"/>
      <c r="CSO1" s="110"/>
      <c r="CSP1" s="110"/>
      <c r="CSQ1" s="110"/>
      <c r="CSR1" s="110"/>
      <c r="CSS1" s="110"/>
      <c r="CST1" s="110"/>
      <c r="CSU1" s="110"/>
      <c r="CSV1" s="110"/>
      <c r="CSW1" s="110"/>
      <c r="CSX1" s="110"/>
      <c r="CSY1" s="110"/>
      <c r="CSZ1" s="110"/>
      <c r="CTA1" s="110"/>
      <c r="CTB1" s="110"/>
      <c r="CTC1" s="110"/>
      <c r="CTD1" s="110"/>
      <c r="CTE1" s="110"/>
      <c r="CTF1" s="110"/>
      <c r="CTG1" s="110"/>
      <c r="CTH1" s="110"/>
      <c r="CTI1" s="110"/>
      <c r="CTJ1" s="110"/>
      <c r="CTK1" s="110"/>
      <c r="CTL1" s="110"/>
      <c r="CTM1" s="110"/>
      <c r="CTN1" s="110"/>
      <c r="CTO1" s="110"/>
      <c r="CTP1" s="110"/>
      <c r="CTQ1" s="110"/>
      <c r="CTR1" s="110"/>
      <c r="CTS1" s="110"/>
      <c r="CTT1" s="110"/>
      <c r="CTU1" s="110"/>
      <c r="CTV1" s="110"/>
      <c r="CTW1" s="110"/>
      <c r="CTX1" s="110"/>
      <c r="CTY1" s="110"/>
      <c r="CTZ1" s="110"/>
      <c r="CUA1" s="110"/>
      <c r="CUB1" s="110"/>
      <c r="CUC1" s="110"/>
      <c r="CUD1" s="110"/>
      <c r="CUE1" s="110"/>
      <c r="CUF1" s="110"/>
      <c r="CUG1" s="110"/>
      <c r="CUH1" s="110"/>
      <c r="CUI1" s="110"/>
      <c r="CUJ1" s="110"/>
      <c r="CUK1" s="110"/>
      <c r="CUL1" s="110"/>
      <c r="CUM1" s="110"/>
      <c r="CUN1" s="110"/>
      <c r="CUO1" s="110"/>
      <c r="CUP1" s="110"/>
      <c r="CUQ1" s="110"/>
      <c r="CUR1" s="110"/>
      <c r="CUS1" s="110"/>
      <c r="CUT1" s="110"/>
      <c r="CUU1" s="110"/>
      <c r="CUV1" s="110"/>
      <c r="CUW1" s="110"/>
      <c r="CUX1" s="110"/>
      <c r="CUY1" s="110"/>
      <c r="CUZ1" s="110"/>
      <c r="CVA1" s="110"/>
      <c r="CVB1" s="110"/>
      <c r="CVC1" s="110"/>
      <c r="CVD1" s="110"/>
      <c r="CVE1" s="110"/>
      <c r="CVF1" s="110"/>
      <c r="CVG1" s="110"/>
      <c r="CVH1" s="110"/>
      <c r="CVI1" s="110"/>
      <c r="CVJ1" s="110"/>
      <c r="CVK1" s="110"/>
      <c r="CVL1" s="110"/>
      <c r="CVM1" s="110"/>
      <c r="CVN1" s="110"/>
      <c r="CVO1" s="110"/>
      <c r="CVP1" s="110"/>
      <c r="CVQ1" s="110"/>
      <c r="CVR1" s="110"/>
      <c r="CVS1" s="110"/>
      <c r="CVT1" s="110"/>
      <c r="CVU1" s="110"/>
      <c r="CVV1" s="110"/>
      <c r="CVW1" s="110"/>
      <c r="CVX1" s="110"/>
      <c r="CVY1" s="110"/>
      <c r="CVZ1" s="110"/>
      <c r="CWA1" s="110"/>
      <c r="CWB1" s="110"/>
      <c r="CWC1" s="110"/>
      <c r="CWD1" s="110"/>
      <c r="CWE1" s="110"/>
      <c r="CWF1" s="110"/>
      <c r="CWG1" s="110"/>
      <c r="CWH1" s="110"/>
      <c r="CWI1" s="110"/>
      <c r="CWJ1" s="110"/>
      <c r="CWK1" s="110"/>
      <c r="CWL1" s="110"/>
      <c r="CWM1" s="110"/>
      <c r="CWN1" s="110"/>
      <c r="CWO1" s="110"/>
      <c r="CWP1" s="110"/>
      <c r="CWQ1" s="110"/>
      <c r="CWR1" s="110"/>
      <c r="CWS1" s="110"/>
      <c r="CWT1" s="110"/>
      <c r="CWU1" s="110"/>
      <c r="CWV1" s="110"/>
      <c r="CWW1" s="110"/>
      <c r="CWX1" s="110"/>
      <c r="CWY1" s="110"/>
      <c r="CWZ1" s="110"/>
      <c r="CXA1" s="110"/>
      <c r="CXB1" s="110"/>
      <c r="CXC1" s="110"/>
      <c r="CXD1" s="110"/>
      <c r="CXE1" s="110"/>
      <c r="CXF1" s="110"/>
      <c r="CXG1" s="110"/>
      <c r="CXH1" s="110"/>
      <c r="CXI1" s="110"/>
      <c r="CXJ1" s="110"/>
      <c r="CXK1" s="110"/>
      <c r="CXL1" s="110"/>
      <c r="CXM1" s="110"/>
      <c r="CXN1" s="110"/>
      <c r="CXO1" s="110"/>
      <c r="CXP1" s="110"/>
      <c r="CXQ1" s="110"/>
      <c r="CXR1" s="110"/>
      <c r="CXS1" s="110"/>
      <c r="CXT1" s="110"/>
      <c r="CXU1" s="110"/>
      <c r="CXV1" s="110"/>
      <c r="CXW1" s="110"/>
      <c r="CXX1" s="110"/>
      <c r="CXY1" s="110"/>
      <c r="CXZ1" s="110"/>
      <c r="CYA1" s="110"/>
      <c r="CYB1" s="110"/>
      <c r="CYC1" s="110"/>
      <c r="CYD1" s="110"/>
      <c r="CYE1" s="110"/>
      <c r="CYF1" s="110"/>
      <c r="CYG1" s="110"/>
      <c r="CYH1" s="110"/>
      <c r="CYI1" s="110"/>
      <c r="CYJ1" s="110"/>
      <c r="CYK1" s="110"/>
      <c r="CYL1" s="110"/>
      <c r="CYM1" s="110"/>
      <c r="CYN1" s="110"/>
      <c r="CYO1" s="110"/>
      <c r="CYP1" s="110"/>
      <c r="CYQ1" s="110"/>
      <c r="CYR1" s="110"/>
      <c r="CYS1" s="110"/>
      <c r="CYT1" s="110"/>
      <c r="CYU1" s="110"/>
      <c r="CYV1" s="110"/>
      <c r="CYW1" s="110"/>
      <c r="CYX1" s="110"/>
      <c r="CYY1" s="110"/>
      <c r="CYZ1" s="110"/>
      <c r="CZA1" s="110"/>
      <c r="CZB1" s="110"/>
      <c r="CZC1" s="110"/>
      <c r="CZD1" s="110"/>
      <c r="CZE1" s="110"/>
      <c r="CZF1" s="110"/>
      <c r="CZG1" s="110"/>
      <c r="CZH1" s="110"/>
      <c r="CZI1" s="110"/>
      <c r="CZJ1" s="110"/>
      <c r="CZK1" s="110"/>
      <c r="CZL1" s="110"/>
      <c r="CZM1" s="110"/>
      <c r="CZN1" s="110"/>
      <c r="CZO1" s="110"/>
      <c r="CZP1" s="110"/>
      <c r="CZQ1" s="110"/>
      <c r="CZR1" s="110"/>
      <c r="CZS1" s="110"/>
      <c r="CZT1" s="110"/>
      <c r="CZU1" s="110"/>
      <c r="CZV1" s="110"/>
      <c r="CZW1" s="110"/>
      <c r="CZX1" s="110"/>
      <c r="CZY1" s="110"/>
      <c r="CZZ1" s="110"/>
      <c r="DAA1" s="110"/>
      <c r="DAB1" s="110"/>
      <c r="DAC1" s="110"/>
      <c r="DAD1" s="110"/>
      <c r="DAE1" s="110"/>
      <c r="DAF1" s="110"/>
      <c r="DAG1" s="110"/>
      <c r="DAH1" s="110"/>
      <c r="DAI1" s="110"/>
      <c r="DAJ1" s="110"/>
      <c r="DAK1" s="110"/>
      <c r="DAL1" s="110"/>
      <c r="DAM1" s="110"/>
      <c r="DAN1" s="110"/>
      <c r="DAO1" s="110"/>
      <c r="DAP1" s="110"/>
      <c r="DAQ1" s="110"/>
      <c r="DAR1" s="110"/>
      <c r="DAS1" s="110"/>
      <c r="DAT1" s="110"/>
      <c r="DAU1" s="110"/>
      <c r="DAV1" s="110"/>
      <c r="DAW1" s="110"/>
      <c r="DAX1" s="110"/>
      <c r="DAY1" s="110"/>
      <c r="DAZ1" s="110"/>
      <c r="DBA1" s="110"/>
      <c r="DBB1" s="110"/>
      <c r="DBC1" s="110"/>
      <c r="DBD1" s="110"/>
      <c r="DBE1" s="110"/>
      <c r="DBF1" s="110"/>
      <c r="DBG1" s="110"/>
      <c r="DBH1" s="110"/>
      <c r="DBI1" s="110"/>
      <c r="DBJ1" s="110"/>
      <c r="DBK1" s="110"/>
      <c r="DBL1" s="110"/>
      <c r="DBM1" s="110"/>
      <c r="DBN1" s="110"/>
      <c r="DBO1" s="110"/>
      <c r="DBP1" s="110"/>
      <c r="DBQ1" s="110"/>
      <c r="DBR1" s="110"/>
      <c r="DBS1" s="110"/>
      <c r="DBT1" s="110"/>
      <c r="DBU1" s="110"/>
      <c r="DBV1" s="110"/>
      <c r="DBW1" s="110"/>
      <c r="DBX1" s="110"/>
      <c r="DBY1" s="110"/>
      <c r="DBZ1" s="110"/>
      <c r="DCA1" s="110"/>
      <c r="DCB1" s="110"/>
      <c r="DCC1" s="110"/>
      <c r="DCD1" s="110"/>
      <c r="DCE1" s="110"/>
      <c r="DCF1" s="110"/>
      <c r="DCG1" s="110"/>
      <c r="DCH1" s="110"/>
      <c r="DCI1" s="110"/>
      <c r="DCJ1" s="110"/>
      <c r="DCK1" s="110"/>
      <c r="DCL1" s="110"/>
      <c r="DCM1" s="110"/>
      <c r="DCN1" s="110"/>
      <c r="DCO1" s="110"/>
      <c r="DCP1" s="110"/>
      <c r="DCQ1" s="110"/>
      <c r="DCR1" s="110"/>
      <c r="DCS1" s="110"/>
      <c r="DCT1" s="110"/>
      <c r="DCU1" s="110"/>
      <c r="DCV1" s="110"/>
      <c r="DCW1" s="110"/>
      <c r="DCX1" s="110"/>
      <c r="DCY1" s="110"/>
      <c r="DCZ1" s="110"/>
      <c r="DDA1" s="110"/>
      <c r="DDB1" s="110"/>
      <c r="DDC1" s="110"/>
      <c r="DDD1" s="110"/>
      <c r="DDE1" s="110"/>
      <c r="DDF1" s="110"/>
      <c r="DDG1" s="110"/>
      <c r="DDH1" s="110"/>
      <c r="DDI1" s="110"/>
      <c r="DDJ1" s="110"/>
      <c r="DDK1" s="110"/>
      <c r="DDL1" s="110"/>
      <c r="DDM1" s="110"/>
      <c r="DDN1" s="110"/>
      <c r="DDO1" s="110"/>
      <c r="DDP1" s="110"/>
      <c r="DDQ1" s="110"/>
      <c r="DDR1" s="110"/>
      <c r="DDS1" s="110"/>
      <c r="DDT1" s="110"/>
      <c r="DDU1" s="110"/>
      <c r="DDV1" s="110"/>
      <c r="DDW1" s="110"/>
      <c r="DDX1" s="110"/>
      <c r="DDY1" s="110"/>
      <c r="DDZ1" s="110"/>
      <c r="DEA1" s="110"/>
      <c r="DEB1" s="110"/>
      <c r="DEC1" s="110"/>
      <c r="DED1" s="110"/>
      <c r="DEE1" s="110"/>
      <c r="DEF1" s="110"/>
      <c r="DEG1" s="110"/>
      <c r="DEH1" s="110"/>
      <c r="DEI1" s="110"/>
      <c r="DEJ1" s="110"/>
      <c r="DEK1" s="110"/>
      <c r="DEL1" s="110"/>
      <c r="DEM1" s="110"/>
      <c r="DEN1" s="110"/>
      <c r="DEO1" s="110"/>
      <c r="DEP1" s="110"/>
      <c r="DEQ1" s="110"/>
      <c r="DER1" s="110"/>
      <c r="DES1" s="110"/>
      <c r="DET1" s="110"/>
      <c r="DEU1" s="110"/>
      <c r="DEV1" s="110"/>
      <c r="DEW1" s="110"/>
      <c r="DEX1" s="110"/>
      <c r="DEY1" s="110"/>
      <c r="DEZ1" s="110"/>
      <c r="DFA1" s="110"/>
      <c r="DFB1" s="110"/>
      <c r="DFC1" s="110"/>
      <c r="DFD1" s="110"/>
      <c r="DFE1" s="110"/>
      <c r="DFF1" s="110"/>
      <c r="DFG1" s="110"/>
      <c r="DFH1" s="110"/>
      <c r="DFI1" s="110"/>
      <c r="DFJ1" s="110"/>
      <c r="DFK1" s="110"/>
      <c r="DFL1" s="110"/>
      <c r="DFM1" s="110"/>
      <c r="DFN1" s="110"/>
      <c r="DFO1" s="110"/>
      <c r="DFP1" s="110"/>
      <c r="DFQ1" s="110"/>
      <c r="DFR1" s="110"/>
      <c r="DFS1" s="110"/>
      <c r="DFT1" s="110"/>
      <c r="DFU1" s="110"/>
      <c r="DFV1" s="110"/>
      <c r="DFW1" s="110"/>
      <c r="DFX1" s="110"/>
      <c r="DFY1" s="110"/>
      <c r="DFZ1" s="110"/>
      <c r="DGA1" s="110"/>
      <c r="DGB1" s="110"/>
      <c r="DGC1" s="110"/>
      <c r="DGD1" s="110"/>
      <c r="DGE1" s="110"/>
      <c r="DGF1" s="110"/>
      <c r="DGG1" s="110"/>
      <c r="DGH1" s="110"/>
      <c r="DGI1" s="110"/>
      <c r="DGJ1" s="110"/>
      <c r="DGK1" s="110"/>
      <c r="DGL1" s="110"/>
      <c r="DGM1" s="110"/>
      <c r="DGN1" s="110"/>
      <c r="DGO1" s="110"/>
      <c r="DGP1" s="110"/>
      <c r="DGQ1" s="110"/>
      <c r="DGR1" s="110"/>
      <c r="DGS1" s="110"/>
      <c r="DGT1" s="110"/>
      <c r="DGU1" s="110"/>
      <c r="DGV1" s="110"/>
      <c r="DGW1" s="110"/>
      <c r="DGX1" s="110"/>
      <c r="DGY1" s="110"/>
      <c r="DGZ1" s="110"/>
      <c r="DHA1" s="110"/>
      <c r="DHB1" s="110"/>
      <c r="DHC1" s="110"/>
      <c r="DHD1" s="110"/>
      <c r="DHE1" s="110"/>
      <c r="DHF1" s="110"/>
      <c r="DHG1" s="110"/>
      <c r="DHH1" s="110"/>
      <c r="DHI1" s="110"/>
      <c r="DHJ1" s="110"/>
      <c r="DHK1" s="110"/>
      <c r="DHL1" s="110"/>
      <c r="DHM1" s="110"/>
      <c r="DHN1" s="110"/>
      <c r="DHO1" s="110"/>
      <c r="DHP1" s="110"/>
      <c r="DHQ1" s="110"/>
      <c r="DHR1" s="110"/>
      <c r="DHS1" s="110"/>
      <c r="DHT1" s="110"/>
      <c r="DHU1" s="110"/>
      <c r="DHV1" s="110"/>
      <c r="DHW1" s="110"/>
      <c r="DHX1" s="110"/>
      <c r="DHY1" s="110"/>
      <c r="DHZ1" s="110"/>
      <c r="DIA1" s="110"/>
      <c r="DIB1" s="110"/>
      <c r="DIC1" s="110"/>
      <c r="DID1" s="110"/>
      <c r="DIE1" s="110"/>
      <c r="DIF1" s="110"/>
      <c r="DIG1" s="110"/>
      <c r="DIH1" s="110"/>
      <c r="DII1" s="110"/>
      <c r="DIJ1" s="110"/>
      <c r="DIK1" s="110"/>
      <c r="DIL1" s="110"/>
      <c r="DIM1" s="110"/>
      <c r="DIN1" s="110"/>
      <c r="DIO1" s="110"/>
      <c r="DIP1" s="110"/>
      <c r="DIQ1" s="110"/>
      <c r="DIR1" s="110"/>
      <c r="DIS1" s="110"/>
      <c r="DIT1" s="110"/>
      <c r="DIU1" s="110"/>
      <c r="DIV1" s="110"/>
      <c r="DIW1" s="110"/>
      <c r="DIX1" s="110"/>
      <c r="DIY1" s="110"/>
      <c r="DIZ1" s="110"/>
      <c r="DJA1" s="110"/>
      <c r="DJB1" s="110"/>
      <c r="DJC1" s="110"/>
      <c r="DJD1" s="110"/>
      <c r="DJE1" s="110"/>
      <c r="DJF1" s="110"/>
      <c r="DJG1" s="110"/>
      <c r="DJH1" s="110"/>
      <c r="DJI1" s="110"/>
      <c r="DJJ1" s="110"/>
      <c r="DJK1" s="110"/>
      <c r="DJL1" s="110"/>
      <c r="DJM1" s="110"/>
      <c r="DJN1" s="110"/>
      <c r="DJO1" s="110"/>
      <c r="DJP1" s="110"/>
      <c r="DJQ1" s="110"/>
      <c r="DJR1" s="110"/>
      <c r="DJS1" s="110"/>
      <c r="DJT1" s="110"/>
      <c r="DJU1" s="110"/>
      <c r="DJV1" s="110"/>
      <c r="DJW1" s="110"/>
      <c r="DJX1" s="110"/>
      <c r="DJY1" s="110"/>
      <c r="DJZ1" s="110"/>
      <c r="DKA1" s="110"/>
      <c r="DKB1" s="110"/>
      <c r="DKC1" s="110"/>
      <c r="DKD1" s="110"/>
      <c r="DKE1" s="110"/>
      <c r="DKF1" s="110"/>
      <c r="DKG1" s="110"/>
      <c r="DKH1" s="110"/>
      <c r="DKI1" s="110"/>
      <c r="DKJ1" s="110"/>
      <c r="DKK1" s="110"/>
      <c r="DKL1" s="110"/>
      <c r="DKM1" s="110"/>
      <c r="DKN1" s="110"/>
      <c r="DKO1" s="110"/>
      <c r="DKP1" s="110"/>
      <c r="DKQ1" s="110"/>
      <c r="DKR1" s="110"/>
      <c r="DKS1" s="110"/>
      <c r="DKT1" s="110"/>
      <c r="DKU1" s="110"/>
      <c r="DKV1" s="110"/>
      <c r="DKW1" s="110"/>
      <c r="DKX1" s="110"/>
      <c r="DKY1" s="110"/>
      <c r="DKZ1" s="110"/>
      <c r="DLA1" s="110"/>
      <c r="DLB1" s="110"/>
      <c r="DLC1" s="110"/>
      <c r="DLD1" s="110"/>
      <c r="DLE1" s="110"/>
      <c r="DLF1" s="110"/>
      <c r="DLG1" s="110"/>
      <c r="DLH1" s="110"/>
      <c r="DLI1" s="110"/>
      <c r="DLJ1" s="110"/>
      <c r="DLK1" s="110"/>
      <c r="DLL1" s="110"/>
      <c r="DLM1" s="110"/>
      <c r="DLN1" s="110"/>
      <c r="DLO1" s="110"/>
      <c r="DLP1" s="110"/>
      <c r="DLQ1" s="110"/>
      <c r="DLR1" s="110"/>
      <c r="DLS1" s="110"/>
      <c r="DLT1" s="110"/>
      <c r="DLU1" s="110"/>
      <c r="DLV1" s="110"/>
      <c r="DLW1" s="110"/>
      <c r="DLX1" s="110"/>
      <c r="DLY1" s="110"/>
      <c r="DLZ1" s="110"/>
      <c r="DMA1" s="110"/>
      <c r="DMB1" s="110"/>
      <c r="DMC1" s="110"/>
      <c r="DMD1" s="110"/>
      <c r="DME1" s="110"/>
      <c r="DMF1" s="110"/>
      <c r="DMG1" s="110"/>
      <c r="DMH1" s="110"/>
      <c r="DMI1" s="110"/>
      <c r="DMJ1" s="110"/>
      <c r="DMK1" s="110"/>
      <c r="DML1" s="110"/>
      <c r="DMM1" s="110"/>
      <c r="DMN1" s="110"/>
      <c r="DMO1" s="110"/>
      <c r="DMP1" s="110"/>
      <c r="DMQ1" s="110"/>
      <c r="DMR1" s="110"/>
      <c r="DMS1" s="110"/>
      <c r="DMT1" s="110"/>
      <c r="DMU1" s="110"/>
      <c r="DMV1" s="110"/>
      <c r="DMW1" s="110"/>
      <c r="DMX1" s="110"/>
      <c r="DMY1" s="110"/>
      <c r="DMZ1" s="110"/>
      <c r="DNA1" s="110"/>
      <c r="DNB1" s="110"/>
      <c r="DNC1" s="110"/>
      <c r="DND1" s="110"/>
      <c r="DNE1" s="110"/>
      <c r="DNF1" s="110"/>
      <c r="DNG1" s="110"/>
      <c r="DNH1" s="110"/>
      <c r="DNI1" s="110"/>
      <c r="DNJ1" s="110"/>
      <c r="DNK1" s="110"/>
      <c r="DNL1" s="110"/>
      <c r="DNM1" s="110"/>
      <c r="DNN1" s="110"/>
      <c r="DNO1" s="110"/>
      <c r="DNP1" s="110"/>
      <c r="DNQ1" s="110"/>
      <c r="DNR1" s="110"/>
      <c r="DNS1" s="110"/>
      <c r="DNT1" s="110"/>
      <c r="DNU1" s="110"/>
      <c r="DNV1" s="110"/>
      <c r="DNW1" s="110"/>
      <c r="DNX1" s="110"/>
      <c r="DNY1" s="110"/>
      <c r="DNZ1" s="110"/>
      <c r="DOA1" s="110"/>
      <c r="DOB1" s="110"/>
      <c r="DOC1" s="110"/>
      <c r="DOD1" s="110"/>
      <c r="DOE1" s="110"/>
      <c r="DOF1" s="110"/>
      <c r="DOG1" s="110"/>
      <c r="DOH1" s="110"/>
      <c r="DOI1" s="110"/>
      <c r="DOJ1" s="110"/>
      <c r="DOK1" s="110"/>
      <c r="DOL1" s="110"/>
      <c r="DOM1" s="110"/>
      <c r="DON1" s="110"/>
      <c r="DOO1" s="110"/>
      <c r="DOP1" s="110"/>
      <c r="DOQ1" s="110"/>
      <c r="DOR1" s="110"/>
      <c r="DOS1" s="110"/>
      <c r="DOT1" s="110"/>
      <c r="DOU1" s="110"/>
      <c r="DOV1" s="110"/>
      <c r="DOW1" s="110"/>
      <c r="DOX1" s="110"/>
      <c r="DOY1" s="110"/>
      <c r="DOZ1" s="110"/>
      <c r="DPA1" s="110"/>
      <c r="DPB1" s="110"/>
      <c r="DPC1" s="110"/>
      <c r="DPD1" s="110"/>
      <c r="DPE1" s="110"/>
      <c r="DPF1" s="110"/>
      <c r="DPG1" s="110"/>
      <c r="DPH1" s="110"/>
      <c r="DPI1" s="110"/>
      <c r="DPJ1" s="110"/>
      <c r="DPK1" s="110"/>
      <c r="DPL1" s="110"/>
      <c r="DPM1" s="110"/>
      <c r="DPN1" s="110"/>
      <c r="DPO1" s="110"/>
      <c r="DPP1" s="110"/>
      <c r="DPQ1" s="110"/>
      <c r="DPR1" s="110"/>
      <c r="DPS1" s="110"/>
      <c r="DPT1" s="110"/>
      <c r="DPU1" s="110"/>
      <c r="DPV1" s="110"/>
      <c r="DPW1" s="110"/>
      <c r="DPX1" s="110"/>
      <c r="DPY1" s="110"/>
      <c r="DPZ1" s="110"/>
      <c r="DQA1" s="110"/>
      <c r="DQB1" s="110"/>
      <c r="DQC1" s="110"/>
      <c r="DQD1" s="110"/>
      <c r="DQE1" s="110"/>
      <c r="DQF1" s="110"/>
      <c r="DQG1" s="110"/>
      <c r="DQH1" s="110"/>
      <c r="DQI1" s="110"/>
      <c r="DQJ1" s="110"/>
      <c r="DQK1" s="110"/>
      <c r="DQL1" s="110"/>
      <c r="DQM1" s="110"/>
      <c r="DQN1" s="110"/>
      <c r="DQO1" s="110"/>
      <c r="DQP1" s="110"/>
      <c r="DQQ1" s="110"/>
      <c r="DQR1" s="110"/>
      <c r="DQS1" s="110"/>
      <c r="DQT1" s="110"/>
      <c r="DQU1" s="110"/>
      <c r="DQV1" s="110"/>
      <c r="DQW1" s="110"/>
      <c r="DQX1" s="110"/>
      <c r="DQY1" s="110"/>
      <c r="DQZ1" s="110"/>
      <c r="DRA1" s="110"/>
      <c r="DRB1" s="110"/>
      <c r="DRC1" s="110"/>
      <c r="DRD1" s="110"/>
      <c r="DRE1" s="110"/>
      <c r="DRF1" s="110"/>
      <c r="DRG1" s="110"/>
      <c r="DRH1" s="110"/>
      <c r="DRI1" s="110"/>
      <c r="DRJ1" s="110"/>
      <c r="DRK1" s="110"/>
      <c r="DRL1" s="110"/>
      <c r="DRM1" s="110"/>
      <c r="DRN1" s="110"/>
      <c r="DRO1" s="110"/>
      <c r="DRP1" s="110"/>
      <c r="DRQ1" s="110"/>
      <c r="DRR1" s="110"/>
      <c r="DRS1" s="110"/>
      <c r="DRT1" s="110"/>
      <c r="DRU1" s="110"/>
      <c r="DRV1" s="110"/>
      <c r="DRW1" s="110"/>
      <c r="DRX1" s="110"/>
      <c r="DRY1" s="110"/>
      <c r="DRZ1" s="110"/>
      <c r="DSA1" s="110"/>
      <c r="DSB1" s="110"/>
      <c r="DSC1" s="110"/>
      <c r="DSD1" s="110"/>
      <c r="DSE1" s="110"/>
      <c r="DSF1" s="110"/>
      <c r="DSG1" s="110"/>
      <c r="DSH1" s="110"/>
      <c r="DSI1" s="110"/>
      <c r="DSJ1" s="110"/>
      <c r="DSK1" s="110"/>
      <c r="DSL1" s="110"/>
      <c r="DSM1" s="110"/>
      <c r="DSN1" s="110"/>
      <c r="DSO1" s="110"/>
      <c r="DSP1" s="110"/>
      <c r="DSQ1" s="110"/>
      <c r="DSR1" s="110"/>
      <c r="DSS1" s="110"/>
      <c r="DST1" s="110"/>
      <c r="DSU1" s="110"/>
      <c r="DSV1" s="110"/>
      <c r="DSW1" s="110"/>
      <c r="DSX1" s="110"/>
      <c r="DSY1" s="110"/>
      <c r="DSZ1" s="110"/>
      <c r="DTA1" s="110"/>
      <c r="DTB1" s="110"/>
      <c r="DTC1" s="110"/>
      <c r="DTD1" s="110"/>
      <c r="DTE1" s="110"/>
      <c r="DTF1" s="110"/>
      <c r="DTG1" s="110"/>
      <c r="DTH1" s="110"/>
      <c r="DTI1" s="110"/>
      <c r="DTJ1" s="110"/>
      <c r="DTK1" s="110"/>
      <c r="DTL1" s="110"/>
      <c r="DTM1" s="110"/>
      <c r="DTN1" s="110"/>
      <c r="DTO1" s="110"/>
      <c r="DTP1" s="110"/>
      <c r="DTQ1" s="110"/>
      <c r="DTR1" s="110"/>
      <c r="DTS1" s="110"/>
      <c r="DTT1" s="110"/>
      <c r="DTU1" s="110"/>
      <c r="DTV1" s="110"/>
      <c r="DTW1" s="110"/>
      <c r="DTX1" s="110"/>
      <c r="DTY1" s="110"/>
      <c r="DTZ1" s="110"/>
      <c r="DUA1" s="110"/>
      <c r="DUB1" s="110"/>
      <c r="DUC1" s="110"/>
      <c r="DUD1" s="110"/>
      <c r="DUE1" s="110"/>
      <c r="DUF1" s="110"/>
      <c r="DUG1" s="110"/>
      <c r="DUH1" s="110"/>
      <c r="DUI1" s="110"/>
      <c r="DUJ1" s="110"/>
      <c r="DUK1" s="110"/>
      <c r="DUL1" s="110"/>
      <c r="DUM1" s="110"/>
      <c r="DUN1" s="110"/>
      <c r="DUO1" s="110"/>
      <c r="DUP1" s="110"/>
      <c r="DUQ1" s="110"/>
      <c r="DUR1" s="110"/>
      <c r="DUS1" s="110"/>
      <c r="DUT1" s="110"/>
      <c r="DUU1" s="110"/>
      <c r="DUV1" s="110"/>
      <c r="DUW1" s="110"/>
      <c r="DUX1" s="110"/>
      <c r="DUY1" s="110"/>
      <c r="DUZ1" s="110"/>
      <c r="DVA1" s="110"/>
      <c r="DVB1" s="110"/>
      <c r="DVC1" s="110"/>
      <c r="DVD1" s="110"/>
      <c r="DVE1" s="110"/>
      <c r="DVF1" s="110"/>
      <c r="DVG1" s="110"/>
      <c r="DVH1" s="110"/>
      <c r="DVI1" s="110"/>
      <c r="DVJ1" s="110"/>
      <c r="DVK1" s="110"/>
      <c r="DVL1" s="110"/>
      <c r="DVM1" s="110"/>
      <c r="DVN1" s="110"/>
      <c r="DVO1" s="110"/>
      <c r="DVP1" s="110"/>
      <c r="DVQ1" s="110"/>
      <c r="DVR1" s="110"/>
      <c r="DVS1" s="110"/>
      <c r="DVT1" s="110"/>
      <c r="DVU1" s="110"/>
      <c r="DVV1" s="110"/>
      <c r="DVW1" s="110"/>
      <c r="DVX1" s="110"/>
      <c r="DVY1" s="110"/>
      <c r="DVZ1" s="110"/>
      <c r="DWA1" s="110"/>
      <c r="DWB1" s="110"/>
      <c r="DWC1" s="110"/>
      <c r="DWD1" s="110"/>
      <c r="DWE1" s="110"/>
      <c r="DWF1" s="110"/>
      <c r="DWG1" s="110"/>
      <c r="DWH1" s="110"/>
      <c r="DWI1" s="110"/>
      <c r="DWJ1" s="110"/>
      <c r="DWK1" s="110"/>
      <c r="DWL1" s="110"/>
      <c r="DWM1" s="110"/>
      <c r="DWN1" s="110"/>
      <c r="DWO1" s="110"/>
      <c r="DWP1" s="110"/>
      <c r="DWQ1" s="110"/>
      <c r="DWR1" s="110"/>
      <c r="DWS1" s="110"/>
      <c r="DWT1" s="110"/>
      <c r="DWU1" s="110"/>
      <c r="DWV1" s="110"/>
      <c r="DWW1" s="110"/>
      <c r="DWX1" s="110"/>
      <c r="DWY1" s="110"/>
      <c r="DWZ1" s="110"/>
      <c r="DXA1" s="110"/>
      <c r="DXB1" s="110"/>
      <c r="DXC1" s="110"/>
      <c r="DXD1" s="110"/>
      <c r="DXE1" s="110"/>
      <c r="DXF1" s="110"/>
      <c r="DXG1" s="110"/>
      <c r="DXH1" s="110"/>
      <c r="DXI1" s="110"/>
      <c r="DXJ1" s="110"/>
      <c r="DXK1" s="110"/>
      <c r="DXL1" s="110"/>
      <c r="DXM1" s="110"/>
      <c r="DXN1" s="110"/>
      <c r="DXO1" s="110"/>
      <c r="DXP1" s="110"/>
      <c r="DXQ1" s="110"/>
      <c r="DXR1" s="110"/>
      <c r="DXS1" s="110"/>
      <c r="DXT1" s="110"/>
      <c r="DXU1" s="110"/>
      <c r="DXV1" s="110"/>
      <c r="DXW1" s="110"/>
      <c r="DXX1" s="110"/>
      <c r="DXY1" s="110"/>
      <c r="DXZ1" s="110"/>
      <c r="DYA1" s="110"/>
      <c r="DYB1" s="110"/>
      <c r="DYC1" s="110"/>
      <c r="DYD1" s="110"/>
      <c r="DYE1" s="110"/>
      <c r="DYF1" s="110"/>
      <c r="DYG1" s="110"/>
      <c r="DYH1" s="110"/>
      <c r="DYI1" s="110"/>
      <c r="DYJ1" s="110"/>
      <c r="DYK1" s="110"/>
      <c r="DYL1" s="110"/>
      <c r="DYM1" s="110"/>
      <c r="DYN1" s="110"/>
      <c r="DYO1" s="110"/>
      <c r="DYP1" s="110"/>
      <c r="DYQ1" s="110"/>
      <c r="DYR1" s="110"/>
      <c r="DYS1" s="110"/>
      <c r="DYT1" s="110"/>
      <c r="DYU1" s="110"/>
      <c r="DYV1" s="110"/>
      <c r="DYW1" s="110"/>
      <c r="DYX1" s="110"/>
      <c r="DYY1" s="110"/>
      <c r="DYZ1" s="110"/>
      <c r="DZA1" s="110"/>
      <c r="DZB1" s="110"/>
      <c r="DZC1" s="110"/>
      <c r="DZD1" s="110"/>
      <c r="DZE1" s="110"/>
      <c r="DZF1" s="110"/>
      <c r="DZG1" s="110"/>
      <c r="DZH1" s="110"/>
      <c r="DZI1" s="110"/>
      <c r="DZJ1" s="110"/>
      <c r="DZK1" s="110"/>
      <c r="DZL1" s="110"/>
      <c r="DZM1" s="110"/>
      <c r="DZN1" s="110"/>
      <c r="DZO1" s="110"/>
      <c r="DZP1" s="110"/>
      <c r="DZQ1" s="110"/>
      <c r="DZR1" s="110"/>
      <c r="DZS1" s="110"/>
      <c r="DZT1" s="110"/>
      <c r="DZU1" s="110"/>
      <c r="DZV1" s="110"/>
      <c r="DZW1" s="110"/>
      <c r="DZX1" s="110"/>
      <c r="DZY1" s="110"/>
      <c r="DZZ1" s="110"/>
      <c r="EAA1" s="110"/>
      <c r="EAB1" s="110"/>
      <c r="EAC1" s="110"/>
      <c r="EAD1" s="110"/>
      <c r="EAE1" s="110"/>
      <c r="EAF1" s="110"/>
      <c r="EAG1" s="110"/>
      <c r="EAH1" s="110"/>
      <c r="EAI1" s="110"/>
      <c r="EAJ1" s="110"/>
      <c r="EAK1" s="110"/>
      <c r="EAL1" s="110"/>
      <c r="EAM1" s="110"/>
      <c r="EAN1" s="110"/>
      <c r="EAO1" s="110"/>
      <c r="EAP1" s="110"/>
      <c r="EAQ1" s="110"/>
      <c r="EAR1" s="110"/>
      <c r="EAS1" s="110"/>
      <c r="EAT1" s="110"/>
      <c r="EAU1" s="110"/>
      <c r="EAV1" s="110"/>
      <c r="EAW1" s="110"/>
      <c r="EAX1" s="110"/>
      <c r="EAY1" s="110"/>
      <c r="EAZ1" s="110"/>
      <c r="EBA1" s="110"/>
      <c r="EBB1" s="110"/>
      <c r="EBC1" s="110"/>
      <c r="EBD1" s="110"/>
      <c r="EBE1" s="110"/>
      <c r="EBF1" s="110"/>
      <c r="EBG1" s="110"/>
      <c r="EBH1" s="110"/>
      <c r="EBI1" s="110"/>
      <c r="EBJ1" s="110"/>
      <c r="EBK1" s="110"/>
      <c r="EBL1" s="110"/>
      <c r="EBM1" s="110"/>
      <c r="EBN1" s="110"/>
      <c r="EBO1" s="110"/>
      <c r="EBP1" s="110"/>
      <c r="EBQ1" s="110"/>
      <c r="EBR1" s="110"/>
      <c r="EBS1" s="110"/>
      <c r="EBT1" s="110"/>
      <c r="EBU1" s="110"/>
      <c r="EBV1" s="110"/>
      <c r="EBW1" s="110"/>
      <c r="EBX1" s="110"/>
      <c r="EBY1" s="110"/>
      <c r="EBZ1" s="110"/>
      <c r="ECA1" s="110"/>
      <c r="ECB1" s="110"/>
      <c r="ECC1" s="110"/>
      <c r="ECD1" s="110"/>
      <c r="ECE1" s="110"/>
      <c r="ECF1" s="110"/>
      <c r="ECG1" s="110"/>
      <c r="ECH1" s="110"/>
      <c r="ECI1" s="110"/>
      <c r="ECJ1" s="110"/>
      <c r="ECK1" s="110"/>
      <c r="ECL1" s="110"/>
      <c r="ECM1" s="110"/>
      <c r="ECN1" s="110"/>
      <c r="ECO1" s="110"/>
      <c r="ECP1" s="110"/>
      <c r="ECQ1" s="110"/>
      <c r="ECR1" s="110"/>
      <c r="ECS1" s="110"/>
      <c r="ECT1" s="110"/>
      <c r="ECU1" s="110"/>
      <c r="ECV1" s="110"/>
      <c r="ECW1" s="110"/>
      <c r="ECX1" s="110"/>
      <c r="ECY1" s="110"/>
      <c r="ECZ1" s="110"/>
      <c r="EDA1" s="110"/>
      <c r="EDB1" s="110"/>
      <c r="EDC1" s="110"/>
      <c r="EDD1" s="110"/>
      <c r="EDE1" s="110"/>
      <c r="EDF1" s="110"/>
      <c r="EDG1" s="110"/>
      <c r="EDH1" s="110"/>
      <c r="EDI1" s="110"/>
      <c r="EDJ1" s="110"/>
      <c r="EDK1" s="110"/>
      <c r="EDL1" s="110"/>
      <c r="EDM1" s="110"/>
      <c r="EDN1" s="110"/>
      <c r="EDO1" s="110"/>
      <c r="EDP1" s="110"/>
      <c r="EDQ1" s="110"/>
      <c r="EDR1" s="110"/>
      <c r="EDS1" s="110"/>
      <c r="EDT1" s="110"/>
      <c r="EDU1" s="110"/>
      <c r="EDV1" s="110"/>
      <c r="EDW1" s="110"/>
      <c r="EDX1" s="110"/>
      <c r="EDY1" s="110"/>
      <c r="EDZ1" s="110"/>
      <c r="EEA1" s="110"/>
      <c r="EEB1" s="110"/>
      <c r="EEC1" s="110"/>
      <c r="EED1" s="110"/>
      <c r="EEE1" s="110"/>
      <c r="EEF1" s="110"/>
      <c r="EEG1" s="110"/>
      <c r="EEH1" s="110"/>
      <c r="EEI1" s="110"/>
      <c r="EEJ1" s="110"/>
      <c r="EEK1" s="110"/>
      <c r="EEL1" s="110"/>
      <c r="EEM1" s="110"/>
      <c r="EEN1" s="110"/>
      <c r="EEO1" s="110"/>
      <c r="EEP1" s="110"/>
      <c r="EEQ1" s="110"/>
      <c r="EER1" s="110"/>
      <c r="EES1" s="110"/>
      <c r="EET1" s="110"/>
      <c r="EEU1" s="110"/>
      <c r="EEV1" s="110"/>
      <c r="EEW1" s="110"/>
      <c r="EEX1" s="110"/>
      <c r="EEY1" s="110"/>
      <c r="EEZ1" s="110"/>
      <c r="EFA1" s="110"/>
      <c r="EFB1" s="110"/>
      <c r="EFC1" s="110"/>
      <c r="EFD1" s="110"/>
      <c r="EFE1" s="110"/>
      <c r="EFF1" s="110"/>
      <c r="EFG1" s="110"/>
      <c r="EFH1" s="110"/>
      <c r="EFI1" s="110"/>
      <c r="EFJ1" s="110"/>
      <c r="EFK1" s="110"/>
      <c r="EFL1" s="110"/>
      <c r="EFM1" s="110"/>
      <c r="EFN1" s="110"/>
      <c r="EFO1" s="110"/>
      <c r="EFP1" s="110"/>
      <c r="EFQ1" s="110"/>
      <c r="EFR1" s="110"/>
      <c r="EFS1" s="110"/>
      <c r="EFT1" s="110"/>
      <c r="EFU1" s="110"/>
      <c r="EFV1" s="110"/>
      <c r="EFW1" s="110"/>
      <c r="EFX1" s="110"/>
      <c r="EFY1" s="110"/>
      <c r="EFZ1" s="110"/>
      <c r="EGA1" s="110"/>
      <c r="EGB1" s="110"/>
      <c r="EGC1" s="110"/>
      <c r="EGD1" s="110"/>
      <c r="EGE1" s="110"/>
      <c r="EGF1" s="110"/>
      <c r="EGG1" s="110"/>
      <c r="EGH1" s="110"/>
      <c r="EGI1" s="110"/>
      <c r="EGJ1" s="110"/>
      <c r="EGK1" s="110"/>
      <c r="EGL1" s="110"/>
      <c r="EGM1" s="110"/>
      <c r="EGN1" s="110"/>
      <c r="EGO1" s="110"/>
      <c r="EGP1" s="110"/>
      <c r="EGQ1" s="110"/>
      <c r="EGR1" s="110"/>
      <c r="EGS1" s="110"/>
      <c r="EGT1" s="110"/>
      <c r="EGU1" s="110"/>
      <c r="EGV1" s="110"/>
      <c r="EGW1" s="110"/>
      <c r="EGX1" s="110"/>
      <c r="EGY1" s="110"/>
      <c r="EGZ1" s="110"/>
      <c r="EHA1" s="110"/>
      <c r="EHB1" s="110"/>
      <c r="EHC1" s="110"/>
      <c r="EHD1" s="110"/>
      <c r="EHE1" s="110"/>
      <c r="EHF1" s="110"/>
      <c r="EHG1" s="110"/>
      <c r="EHH1" s="110"/>
      <c r="EHI1" s="110"/>
      <c r="EHJ1" s="110"/>
      <c r="EHK1" s="110"/>
      <c r="EHL1" s="110"/>
      <c r="EHM1" s="110"/>
      <c r="EHN1" s="110"/>
      <c r="EHO1" s="110"/>
      <c r="EHP1" s="110"/>
      <c r="EHQ1" s="110"/>
      <c r="EHR1" s="110"/>
      <c r="EHS1" s="110"/>
      <c r="EHT1" s="110"/>
      <c r="EHU1" s="110"/>
      <c r="EHV1" s="110"/>
      <c r="EHW1" s="110"/>
      <c r="EHX1" s="110"/>
      <c r="EHY1" s="110"/>
      <c r="EHZ1" s="110"/>
      <c r="EIA1" s="110"/>
      <c r="EIB1" s="110"/>
      <c r="EIC1" s="110"/>
      <c r="EID1" s="110"/>
      <c r="EIE1" s="110"/>
      <c r="EIF1" s="110"/>
      <c r="EIG1" s="110"/>
      <c r="EIH1" s="110"/>
      <c r="EII1" s="110"/>
      <c r="EIJ1" s="110"/>
      <c r="EIK1" s="110"/>
      <c r="EIL1" s="110"/>
      <c r="EIM1" s="110"/>
      <c r="EIN1" s="110"/>
      <c r="EIO1" s="110"/>
      <c r="EIP1" s="110"/>
      <c r="EIQ1" s="110"/>
      <c r="EIR1" s="110"/>
      <c r="EIS1" s="110"/>
      <c r="EIT1" s="110"/>
      <c r="EIU1" s="110"/>
      <c r="EIV1" s="110"/>
      <c r="EIW1" s="110"/>
      <c r="EIX1" s="110"/>
      <c r="EIY1" s="110"/>
      <c r="EIZ1" s="110"/>
      <c r="EJA1" s="110"/>
      <c r="EJB1" s="110"/>
      <c r="EJC1" s="110"/>
      <c r="EJD1" s="110"/>
      <c r="EJE1" s="110"/>
      <c r="EJF1" s="110"/>
      <c r="EJG1" s="110"/>
      <c r="EJH1" s="110"/>
      <c r="EJI1" s="110"/>
      <c r="EJJ1" s="110"/>
      <c r="EJK1" s="110"/>
      <c r="EJL1" s="110"/>
      <c r="EJM1" s="110"/>
      <c r="EJN1" s="110"/>
      <c r="EJO1" s="110"/>
      <c r="EJP1" s="110"/>
      <c r="EJQ1" s="110"/>
      <c r="EJR1" s="110"/>
      <c r="EJS1" s="110"/>
      <c r="EJT1" s="110"/>
      <c r="EJU1" s="110"/>
      <c r="EJV1" s="110"/>
      <c r="EJW1" s="110"/>
      <c r="EJX1" s="110"/>
      <c r="EJY1" s="110"/>
      <c r="EJZ1" s="110"/>
      <c r="EKA1" s="110"/>
      <c r="EKB1" s="110"/>
      <c r="EKC1" s="110"/>
      <c r="EKD1" s="110"/>
      <c r="EKE1" s="110"/>
      <c r="EKF1" s="110"/>
      <c r="EKG1" s="110"/>
      <c r="EKH1" s="110"/>
      <c r="EKI1" s="110"/>
      <c r="EKJ1" s="110"/>
      <c r="EKK1" s="110"/>
      <c r="EKL1" s="110"/>
      <c r="EKM1" s="110"/>
      <c r="EKN1" s="110"/>
      <c r="EKO1" s="110"/>
      <c r="EKP1" s="110"/>
      <c r="EKQ1" s="110"/>
      <c r="EKR1" s="110"/>
      <c r="EKS1" s="110"/>
      <c r="EKT1" s="110"/>
      <c r="EKU1" s="110"/>
      <c r="EKV1" s="110"/>
      <c r="EKW1" s="110"/>
      <c r="EKX1" s="110"/>
      <c r="EKY1" s="110"/>
      <c r="EKZ1" s="110"/>
      <c r="ELA1" s="110"/>
      <c r="ELB1" s="110"/>
      <c r="ELC1" s="110"/>
      <c r="ELD1" s="110"/>
      <c r="ELE1" s="110"/>
      <c r="ELF1" s="110"/>
      <c r="ELG1" s="110"/>
      <c r="ELH1" s="110"/>
      <c r="ELI1" s="110"/>
      <c r="ELJ1" s="110"/>
      <c r="ELK1" s="110"/>
      <c r="ELL1" s="110"/>
      <c r="ELM1" s="110"/>
      <c r="ELN1" s="110"/>
      <c r="ELO1" s="110"/>
      <c r="ELP1" s="110"/>
      <c r="ELQ1" s="110"/>
      <c r="ELR1" s="110"/>
      <c r="ELS1" s="110"/>
      <c r="ELT1" s="110"/>
      <c r="ELU1" s="110"/>
      <c r="ELV1" s="110"/>
      <c r="ELW1" s="110"/>
      <c r="ELX1" s="110"/>
      <c r="ELY1" s="110"/>
      <c r="ELZ1" s="110"/>
      <c r="EMA1" s="110"/>
      <c r="EMB1" s="110"/>
      <c r="EMC1" s="110"/>
      <c r="EMD1" s="110"/>
      <c r="EME1" s="110"/>
      <c r="EMF1" s="110"/>
      <c r="EMG1" s="110"/>
      <c r="EMH1" s="110"/>
      <c r="EMI1" s="110"/>
      <c r="EMJ1" s="110"/>
      <c r="EMK1" s="110"/>
      <c r="EML1" s="110"/>
      <c r="EMM1" s="110"/>
      <c r="EMN1" s="110"/>
      <c r="EMO1" s="110"/>
      <c r="EMP1" s="110"/>
      <c r="EMQ1" s="110"/>
      <c r="EMR1" s="110"/>
      <c r="EMS1" s="110"/>
      <c r="EMT1" s="110"/>
      <c r="EMU1" s="110"/>
      <c r="EMV1" s="110"/>
      <c r="EMW1" s="110"/>
      <c r="EMX1" s="110"/>
      <c r="EMY1" s="110"/>
      <c r="EMZ1" s="110"/>
      <c r="ENA1" s="110"/>
      <c r="ENB1" s="110"/>
      <c r="ENC1" s="110"/>
      <c r="END1" s="110"/>
      <c r="ENE1" s="110"/>
      <c r="ENF1" s="110"/>
      <c r="ENG1" s="110"/>
      <c r="ENH1" s="110"/>
      <c r="ENI1" s="110"/>
      <c r="ENJ1" s="110"/>
      <c r="ENK1" s="110"/>
      <c r="ENL1" s="110"/>
      <c r="ENM1" s="110"/>
      <c r="ENN1" s="110"/>
      <c r="ENO1" s="110"/>
      <c r="ENP1" s="110"/>
      <c r="ENQ1" s="110"/>
      <c r="ENR1" s="110"/>
      <c r="ENS1" s="110"/>
      <c r="ENT1" s="110"/>
      <c r="ENU1" s="110"/>
      <c r="ENV1" s="110"/>
      <c r="ENW1" s="110"/>
      <c r="ENX1" s="110"/>
      <c r="ENY1" s="110"/>
      <c r="ENZ1" s="110"/>
      <c r="EOA1" s="110"/>
      <c r="EOB1" s="110"/>
      <c r="EOC1" s="110"/>
      <c r="EOD1" s="110"/>
      <c r="EOE1" s="110"/>
      <c r="EOF1" s="110"/>
      <c r="EOG1" s="110"/>
      <c r="EOH1" s="110"/>
      <c r="EOI1" s="110"/>
      <c r="EOJ1" s="110"/>
      <c r="EOK1" s="110"/>
      <c r="EOL1" s="110"/>
      <c r="EOM1" s="110"/>
      <c r="EON1" s="110"/>
      <c r="EOO1" s="110"/>
      <c r="EOP1" s="110"/>
      <c r="EOQ1" s="110"/>
      <c r="EOR1" s="110"/>
      <c r="EOS1" s="110"/>
      <c r="EOT1" s="110"/>
      <c r="EOU1" s="110"/>
      <c r="EOV1" s="110"/>
      <c r="EOW1" s="110"/>
      <c r="EOX1" s="110"/>
      <c r="EOY1" s="110"/>
      <c r="EOZ1" s="110"/>
      <c r="EPA1" s="110"/>
      <c r="EPB1" s="110"/>
      <c r="EPC1" s="110"/>
      <c r="EPD1" s="110"/>
      <c r="EPE1" s="110"/>
      <c r="EPF1" s="110"/>
      <c r="EPG1" s="110"/>
      <c r="EPH1" s="110"/>
      <c r="EPI1" s="110"/>
      <c r="EPJ1" s="110"/>
      <c r="EPK1" s="110"/>
      <c r="EPL1" s="110"/>
      <c r="EPM1" s="110"/>
      <c r="EPN1" s="110"/>
      <c r="EPO1" s="110"/>
      <c r="EPP1" s="110"/>
      <c r="EPQ1" s="110"/>
      <c r="EPR1" s="110"/>
      <c r="EPS1" s="110"/>
      <c r="EPT1" s="110"/>
      <c r="EPU1" s="110"/>
      <c r="EPV1" s="110"/>
      <c r="EPW1" s="110"/>
      <c r="EPX1" s="110"/>
      <c r="EPY1" s="110"/>
      <c r="EPZ1" s="110"/>
      <c r="EQA1" s="110"/>
      <c r="EQB1" s="110"/>
      <c r="EQC1" s="110"/>
      <c r="EQD1" s="110"/>
      <c r="EQE1" s="110"/>
      <c r="EQF1" s="110"/>
      <c r="EQG1" s="110"/>
      <c r="EQH1" s="110"/>
      <c r="EQI1" s="110"/>
      <c r="EQJ1" s="110"/>
      <c r="EQK1" s="110"/>
      <c r="EQL1" s="110"/>
      <c r="EQM1" s="110"/>
      <c r="EQN1" s="110"/>
      <c r="EQO1" s="110"/>
      <c r="EQP1" s="110"/>
      <c r="EQQ1" s="110"/>
      <c r="EQR1" s="110"/>
      <c r="EQS1" s="110"/>
      <c r="EQT1" s="110"/>
      <c r="EQU1" s="110"/>
      <c r="EQV1" s="110"/>
      <c r="EQW1" s="110"/>
      <c r="EQX1" s="110"/>
      <c r="EQY1" s="110"/>
      <c r="EQZ1" s="110"/>
      <c r="ERA1" s="110"/>
      <c r="ERB1" s="110"/>
      <c r="ERC1" s="110"/>
      <c r="ERD1" s="110"/>
      <c r="ERE1" s="110"/>
      <c r="ERF1" s="110"/>
      <c r="ERG1" s="110"/>
      <c r="ERH1" s="110"/>
      <c r="ERI1" s="110"/>
      <c r="ERJ1" s="110"/>
      <c r="ERK1" s="110"/>
      <c r="ERL1" s="110"/>
      <c r="ERM1" s="110"/>
      <c r="ERN1" s="110"/>
      <c r="ERO1" s="110"/>
      <c r="ERP1" s="110"/>
      <c r="ERQ1" s="110"/>
      <c r="ERR1" s="110"/>
      <c r="ERS1" s="110"/>
      <c r="ERT1" s="110"/>
      <c r="ERU1" s="110"/>
      <c r="ERV1" s="110"/>
      <c r="ERW1" s="110"/>
      <c r="ERX1" s="110"/>
      <c r="ERY1" s="110"/>
      <c r="ERZ1" s="110"/>
      <c r="ESA1" s="110"/>
      <c r="ESB1" s="110"/>
      <c r="ESC1" s="110"/>
      <c r="ESD1" s="110"/>
      <c r="ESE1" s="110"/>
      <c r="ESF1" s="110"/>
      <c r="ESG1" s="110"/>
      <c r="ESH1" s="110"/>
      <c r="ESI1" s="110"/>
      <c r="ESJ1" s="110"/>
      <c r="ESK1" s="110"/>
      <c r="ESL1" s="110"/>
      <c r="ESM1" s="110"/>
      <c r="ESN1" s="110"/>
      <c r="ESO1" s="110"/>
      <c r="ESP1" s="110"/>
      <c r="ESQ1" s="110"/>
      <c r="ESR1" s="110"/>
      <c r="ESS1" s="110"/>
      <c r="EST1" s="110"/>
      <c r="ESU1" s="110"/>
      <c r="ESV1" s="110"/>
      <c r="ESW1" s="110"/>
      <c r="ESX1" s="110"/>
      <c r="ESY1" s="110"/>
      <c r="ESZ1" s="110"/>
      <c r="ETA1" s="110"/>
      <c r="ETB1" s="110"/>
      <c r="ETC1" s="110"/>
      <c r="ETD1" s="110"/>
      <c r="ETE1" s="110"/>
      <c r="ETF1" s="110"/>
      <c r="ETG1" s="110"/>
      <c r="ETH1" s="110"/>
      <c r="ETI1" s="110"/>
      <c r="ETJ1" s="110"/>
      <c r="ETK1" s="110"/>
      <c r="ETL1" s="110"/>
      <c r="ETM1" s="110"/>
      <c r="ETN1" s="110"/>
      <c r="ETO1" s="110"/>
      <c r="ETP1" s="110"/>
      <c r="ETQ1" s="110"/>
      <c r="ETR1" s="110"/>
      <c r="ETS1" s="110"/>
      <c r="ETT1" s="110"/>
      <c r="ETU1" s="110"/>
      <c r="ETV1" s="110"/>
      <c r="ETW1" s="110"/>
      <c r="ETX1" s="110"/>
      <c r="ETY1" s="110"/>
      <c r="ETZ1" s="110"/>
      <c r="EUA1" s="110"/>
      <c r="EUB1" s="110"/>
      <c r="EUC1" s="110"/>
      <c r="EUD1" s="110"/>
      <c r="EUE1" s="110"/>
      <c r="EUF1" s="110"/>
      <c r="EUG1" s="110"/>
      <c r="EUH1" s="110"/>
      <c r="EUI1" s="110"/>
      <c r="EUJ1" s="110"/>
      <c r="EUK1" s="110"/>
      <c r="EUL1" s="110"/>
      <c r="EUM1" s="110"/>
      <c r="EUN1" s="110"/>
      <c r="EUO1" s="110"/>
      <c r="EUP1" s="110"/>
      <c r="EUQ1" s="110"/>
      <c r="EUR1" s="110"/>
      <c r="EUS1" s="110"/>
      <c r="EUT1" s="110"/>
      <c r="EUU1" s="110"/>
      <c r="EUV1" s="110"/>
      <c r="EUW1" s="110"/>
      <c r="EUX1" s="110"/>
      <c r="EUY1" s="110"/>
      <c r="EUZ1" s="110"/>
      <c r="EVA1" s="110"/>
      <c r="EVB1" s="110"/>
      <c r="EVC1" s="110"/>
      <c r="EVD1" s="110"/>
      <c r="EVE1" s="110"/>
      <c r="EVF1" s="110"/>
      <c r="EVG1" s="110"/>
      <c r="EVH1" s="110"/>
      <c r="EVI1" s="110"/>
      <c r="EVJ1" s="110"/>
      <c r="EVK1" s="110"/>
      <c r="EVL1" s="110"/>
      <c r="EVM1" s="110"/>
      <c r="EVN1" s="110"/>
      <c r="EVO1" s="110"/>
      <c r="EVP1" s="110"/>
      <c r="EVQ1" s="110"/>
      <c r="EVR1" s="110"/>
      <c r="EVS1" s="110"/>
      <c r="EVT1" s="110"/>
      <c r="EVU1" s="110"/>
      <c r="EVV1" s="110"/>
      <c r="EVW1" s="110"/>
      <c r="EVX1" s="110"/>
      <c r="EVY1" s="110"/>
      <c r="EVZ1" s="110"/>
      <c r="EWA1" s="110"/>
      <c r="EWB1" s="110"/>
      <c r="EWC1" s="110"/>
      <c r="EWD1" s="110"/>
      <c r="EWE1" s="110"/>
      <c r="EWF1" s="110"/>
      <c r="EWG1" s="110"/>
      <c r="EWH1" s="110"/>
      <c r="EWI1" s="110"/>
      <c r="EWJ1" s="110"/>
      <c r="EWK1" s="110"/>
      <c r="EWL1" s="110"/>
      <c r="EWM1" s="110"/>
      <c r="EWN1" s="110"/>
      <c r="EWO1" s="110"/>
      <c r="EWP1" s="110"/>
      <c r="EWQ1" s="110"/>
      <c r="EWR1" s="110"/>
      <c r="EWS1" s="110"/>
      <c r="EWT1" s="110"/>
      <c r="EWU1" s="110"/>
      <c r="EWV1" s="110"/>
      <c r="EWW1" s="110"/>
      <c r="EWX1" s="110"/>
      <c r="EWY1" s="110"/>
      <c r="EWZ1" s="110"/>
      <c r="EXA1" s="110"/>
      <c r="EXB1" s="110"/>
      <c r="EXC1" s="110"/>
      <c r="EXD1" s="110"/>
      <c r="EXE1" s="110"/>
      <c r="EXF1" s="110"/>
      <c r="EXG1" s="110"/>
      <c r="EXH1" s="110"/>
      <c r="EXI1" s="110"/>
      <c r="EXJ1" s="110"/>
      <c r="EXK1" s="110"/>
      <c r="EXL1" s="110"/>
      <c r="EXM1" s="110"/>
      <c r="EXN1" s="110"/>
      <c r="EXO1" s="110"/>
      <c r="EXP1" s="110"/>
      <c r="EXQ1" s="110"/>
      <c r="EXR1" s="110"/>
      <c r="EXS1" s="110"/>
      <c r="EXT1" s="110"/>
      <c r="EXU1" s="110"/>
      <c r="EXV1" s="110"/>
      <c r="EXW1" s="110"/>
      <c r="EXX1" s="110"/>
      <c r="EXY1" s="110"/>
      <c r="EXZ1" s="110"/>
      <c r="EYA1" s="110"/>
      <c r="EYB1" s="110"/>
      <c r="EYC1" s="110"/>
      <c r="EYD1" s="110"/>
      <c r="EYE1" s="110"/>
      <c r="EYF1" s="110"/>
      <c r="EYG1" s="110"/>
      <c r="EYH1" s="110"/>
      <c r="EYI1" s="110"/>
      <c r="EYJ1" s="110"/>
      <c r="EYK1" s="110"/>
      <c r="EYL1" s="110"/>
      <c r="EYM1" s="110"/>
      <c r="EYN1" s="110"/>
      <c r="EYO1" s="110"/>
      <c r="EYP1" s="110"/>
      <c r="EYQ1" s="110"/>
      <c r="EYR1" s="110"/>
      <c r="EYS1" s="110"/>
      <c r="EYT1" s="110"/>
      <c r="EYU1" s="110"/>
      <c r="EYV1" s="110"/>
      <c r="EYW1" s="110"/>
      <c r="EYX1" s="110"/>
      <c r="EYY1" s="110"/>
      <c r="EYZ1" s="110"/>
      <c r="EZA1" s="110"/>
      <c r="EZB1" s="110"/>
      <c r="EZC1" s="110"/>
      <c r="EZD1" s="110"/>
      <c r="EZE1" s="110"/>
      <c r="EZF1" s="110"/>
      <c r="EZG1" s="110"/>
      <c r="EZH1" s="110"/>
      <c r="EZI1" s="110"/>
      <c r="EZJ1" s="110"/>
      <c r="EZK1" s="110"/>
      <c r="EZL1" s="110"/>
      <c r="EZM1" s="110"/>
      <c r="EZN1" s="110"/>
      <c r="EZO1" s="110"/>
      <c r="EZP1" s="110"/>
      <c r="EZQ1" s="110"/>
      <c r="EZR1" s="110"/>
      <c r="EZS1" s="110"/>
      <c r="EZT1" s="110"/>
      <c r="EZU1" s="110"/>
      <c r="EZV1" s="110"/>
      <c r="EZW1" s="110"/>
      <c r="EZX1" s="110"/>
      <c r="EZY1" s="110"/>
      <c r="EZZ1" s="110"/>
      <c r="FAA1" s="110"/>
      <c r="FAB1" s="110"/>
      <c r="FAC1" s="110"/>
      <c r="FAD1" s="110"/>
      <c r="FAE1" s="110"/>
      <c r="FAF1" s="110"/>
      <c r="FAG1" s="110"/>
      <c r="FAH1" s="110"/>
      <c r="FAI1" s="110"/>
      <c r="FAJ1" s="110"/>
      <c r="FAK1" s="110"/>
      <c r="FAL1" s="110"/>
      <c r="FAM1" s="110"/>
      <c r="FAN1" s="110"/>
      <c r="FAO1" s="110"/>
      <c r="FAP1" s="110"/>
      <c r="FAQ1" s="110"/>
      <c r="FAR1" s="110"/>
      <c r="FAS1" s="110"/>
      <c r="FAT1" s="110"/>
      <c r="FAU1" s="110"/>
      <c r="FAV1" s="110"/>
      <c r="FAW1" s="110"/>
      <c r="FAX1" s="110"/>
      <c r="FAY1" s="110"/>
      <c r="FAZ1" s="110"/>
      <c r="FBA1" s="110"/>
      <c r="FBB1" s="110"/>
      <c r="FBC1" s="110"/>
      <c r="FBD1" s="110"/>
      <c r="FBE1" s="110"/>
      <c r="FBF1" s="110"/>
      <c r="FBG1" s="110"/>
      <c r="FBH1" s="110"/>
      <c r="FBI1" s="110"/>
      <c r="FBJ1" s="110"/>
      <c r="FBK1" s="110"/>
      <c r="FBL1" s="110"/>
      <c r="FBM1" s="110"/>
      <c r="FBN1" s="110"/>
      <c r="FBO1" s="110"/>
      <c r="FBP1" s="110"/>
      <c r="FBQ1" s="110"/>
      <c r="FBR1" s="110"/>
      <c r="FBS1" s="110"/>
      <c r="FBT1" s="110"/>
      <c r="FBU1" s="110"/>
      <c r="FBV1" s="110"/>
      <c r="FBW1" s="110"/>
      <c r="FBX1" s="110"/>
      <c r="FBY1" s="110"/>
      <c r="FBZ1" s="110"/>
      <c r="FCA1" s="110"/>
      <c r="FCB1" s="110"/>
      <c r="FCC1" s="110"/>
      <c r="FCD1" s="110"/>
      <c r="FCE1" s="110"/>
      <c r="FCF1" s="110"/>
      <c r="FCG1" s="110"/>
      <c r="FCH1" s="110"/>
      <c r="FCI1" s="110"/>
      <c r="FCJ1" s="110"/>
      <c r="FCK1" s="110"/>
      <c r="FCL1" s="110"/>
      <c r="FCM1" s="110"/>
      <c r="FCN1" s="110"/>
      <c r="FCO1" s="110"/>
      <c r="FCP1" s="110"/>
      <c r="FCQ1" s="110"/>
      <c r="FCR1" s="110"/>
      <c r="FCS1" s="110"/>
      <c r="FCT1" s="110"/>
      <c r="FCU1" s="110"/>
      <c r="FCV1" s="110"/>
      <c r="FCW1" s="110"/>
      <c r="FCX1" s="110"/>
      <c r="FCY1" s="110"/>
      <c r="FCZ1" s="110"/>
      <c r="FDA1" s="110"/>
      <c r="FDB1" s="110"/>
      <c r="FDC1" s="110"/>
      <c r="FDD1" s="110"/>
      <c r="FDE1" s="110"/>
      <c r="FDF1" s="110"/>
      <c r="FDG1" s="110"/>
      <c r="FDH1" s="110"/>
      <c r="FDI1" s="110"/>
      <c r="FDJ1" s="110"/>
      <c r="FDK1" s="110"/>
      <c r="FDL1" s="110"/>
      <c r="FDM1" s="110"/>
      <c r="FDN1" s="110"/>
      <c r="FDO1" s="110"/>
      <c r="FDP1" s="110"/>
      <c r="FDQ1" s="110"/>
      <c r="FDR1" s="110"/>
      <c r="FDS1" s="110"/>
      <c r="FDT1" s="110"/>
      <c r="FDU1" s="110"/>
      <c r="FDV1" s="110"/>
      <c r="FDW1" s="110"/>
      <c r="FDX1" s="110"/>
      <c r="FDY1" s="110"/>
      <c r="FDZ1" s="110"/>
      <c r="FEA1" s="110"/>
      <c r="FEB1" s="110"/>
      <c r="FEC1" s="110"/>
      <c r="FED1" s="110"/>
      <c r="FEE1" s="110"/>
      <c r="FEF1" s="110"/>
      <c r="FEG1" s="110"/>
      <c r="FEH1" s="110"/>
      <c r="FEI1" s="110"/>
      <c r="FEJ1" s="110"/>
      <c r="FEK1" s="110"/>
      <c r="FEL1" s="110"/>
      <c r="FEM1" s="110"/>
      <c r="FEN1" s="110"/>
      <c r="FEO1" s="110"/>
      <c r="FEP1" s="110"/>
      <c r="FEQ1" s="110"/>
      <c r="FER1" s="110"/>
      <c r="FES1" s="110"/>
      <c r="FET1" s="110"/>
      <c r="FEU1" s="110"/>
      <c r="FEV1" s="110"/>
      <c r="FEW1" s="110"/>
      <c r="FEX1" s="110"/>
      <c r="FEY1" s="110"/>
      <c r="FEZ1" s="110"/>
      <c r="FFA1" s="110"/>
      <c r="FFB1" s="110"/>
      <c r="FFC1" s="110"/>
      <c r="FFD1" s="110"/>
      <c r="FFE1" s="110"/>
      <c r="FFF1" s="110"/>
      <c r="FFG1" s="110"/>
      <c r="FFH1" s="110"/>
      <c r="FFI1" s="110"/>
      <c r="FFJ1" s="110"/>
      <c r="FFK1" s="110"/>
      <c r="FFL1" s="110"/>
      <c r="FFM1" s="110"/>
      <c r="FFN1" s="110"/>
      <c r="FFO1" s="110"/>
      <c r="FFP1" s="110"/>
      <c r="FFQ1" s="110"/>
      <c r="FFR1" s="110"/>
      <c r="FFS1" s="110"/>
      <c r="FFT1" s="110"/>
      <c r="FFU1" s="110"/>
      <c r="FFV1" s="110"/>
      <c r="FFW1" s="110"/>
      <c r="FFX1" s="110"/>
      <c r="FFY1" s="110"/>
      <c r="FFZ1" s="110"/>
      <c r="FGA1" s="110"/>
      <c r="FGB1" s="110"/>
      <c r="FGC1" s="110"/>
      <c r="FGD1" s="110"/>
      <c r="FGE1" s="110"/>
      <c r="FGF1" s="110"/>
      <c r="FGG1" s="110"/>
      <c r="FGH1" s="110"/>
      <c r="FGI1" s="110"/>
      <c r="FGJ1" s="110"/>
      <c r="FGK1" s="110"/>
      <c r="FGL1" s="110"/>
      <c r="FGM1" s="110"/>
      <c r="FGN1" s="110"/>
      <c r="FGO1" s="110"/>
      <c r="FGP1" s="110"/>
      <c r="FGQ1" s="110"/>
      <c r="FGR1" s="110"/>
      <c r="FGS1" s="110"/>
      <c r="FGT1" s="110"/>
      <c r="FGU1" s="110"/>
      <c r="FGV1" s="110"/>
      <c r="FGW1" s="110"/>
      <c r="FGX1" s="110"/>
      <c r="FGY1" s="110"/>
      <c r="FGZ1" s="110"/>
      <c r="FHA1" s="110"/>
      <c r="FHB1" s="110"/>
      <c r="FHC1" s="110"/>
      <c r="FHD1" s="110"/>
      <c r="FHE1" s="110"/>
      <c r="FHF1" s="110"/>
      <c r="FHG1" s="110"/>
      <c r="FHH1" s="110"/>
      <c r="FHI1" s="110"/>
      <c r="FHJ1" s="110"/>
      <c r="FHK1" s="110"/>
      <c r="FHL1" s="110"/>
      <c r="FHM1" s="110"/>
      <c r="FHN1" s="110"/>
      <c r="FHO1" s="110"/>
      <c r="FHP1" s="110"/>
      <c r="FHQ1" s="110"/>
      <c r="FHR1" s="110"/>
      <c r="FHS1" s="110"/>
      <c r="FHT1" s="110"/>
      <c r="FHU1" s="110"/>
      <c r="FHV1" s="110"/>
      <c r="FHW1" s="110"/>
      <c r="FHX1" s="110"/>
      <c r="FHY1" s="110"/>
      <c r="FHZ1" s="110"/>
      <c r="FIA1" s="110"/>
      <c r="FIB1" s="110"/>
      <c r="FIC1" s="110"/>
      <c r="FID1" s="110"/>
      <c r="FIE1" s="110"/>
      <c r="FIF1" s="110"/>
      <c r="FIG1" s="110"/>
      <c r="FIH1" s="110"/>
      <c r="FII1" s="110"/>
      <c r="FIJ1" s="110"/>
      <c r="FIK1" s="110"/>
      <c r="FIL1" s="110"/>
      <c r="FIM1" s="110"/>
      <c r="FIN1" s="110"/>
      <c r="FIO1" s="110"/>
      <c r="FIP1" s="110"/>
      <c r="FIQ1" s="110"/>
      <c r="FIR1" s="110"/>
      <c r="FIS1" s="110"/>
      <c r="FIT1" s="110"/>
      <c r="FIU1" s="110"/>
      <c r="FIV1" s="110"/>
      <c r="FIW1" s="110"/>
      <c r="FIX1" s="110"/>
      <c r="FIY1" s="110"/>
      <c r="FIZ1" s="110"/>
      <c r="FJA1" s="110"/>
      <c r="FJB1" s="110"/>
      <c r="FJC1" s="110"/>
      <c r="FJD1" s="110"/>
      <c r="FJE1" s="110"/>
      <c r="FJF1" s="110"/>
      <c r="FJG1" s="110"/>
      <c r="FJH1" s="110"/>
      <c r="FJI1" s="110"/>
      <c r="FJJ1" s="110"/>
      <c r="FJK1" s="110"/>
      <c r="FJL1" s="110"/>
      <c r="FJM1" s="110"/>
      <c r="FJN1" s="110"/>
      <c r="FJO1" s="110"/>
      <c r="FJP1" s="110"/>
      <c r="FJQ1" s="110"/>
      <c r="FJR1" s="110"/>
      <c r="FJS1" s="110"/>
      <c r="FJT1" s="110"/>
      <c r="FJU1" s="110"/>
      <c r="FJV1" s="110"/>
      <c r="FJW1" s="110"/>
      <c r="FJX1" s="110"/>
      <c r="FJY1" s="110"/>
      <c r="FJZ1" s="110"/>
      <c r="FKA1" s="110"/>
      <c r="FKB1" s="110"/>
      <c r="FKC1" s="110"/>
      <c r="FKD1" s="110"/>
      <c r="FKE1" s="110"/>
      <c r="FKF1" s="110"/>
      <c r="FKG1" s="110"/>
      <c r="FKH1" s="110"/>
      <c r="FKI1" s="110"/>
      <c r="FKJ1" s="110"/>
      <c r="FKK1" s="110"/>
      <c r="FKL1" s="110"/>
      <c r="FKM1" s="110"/>
      <c r="FKN1" s="110"/>
      <c r="FKO1" s="110"/>
      <c r="FKP1" s="110"/>
      <c r="FKQ1" s="110"/>
      <c r="FKR1" s="110"/>
      <c r="FKS1" s="110"/>
      <c r="FKT1" s="110"/>
      <c r="FKU1" s="110"/>
      <c r="FKV1" s="110"/>
      <c r="FKW1" s="110"/>
      <c r="FKX1" s="110"/>
      <c r="FKY1" s="110"/>
      <c r="FKZ1" s="110"/>
      <c r="FLA1" s="110"/>
      <c r="FLB1" s="110"/>
      <c r="FLC1" s="110"/>
      <c r="FLD1" s="110"/>
      <c r="FLE1" s="110"/>
      <c r="FLF1" s="110"/>
      <c r="FLG1" s="110"/>
      <c r="FLH1" s="110"/>
      <c r="FLI1" s="110"/>
      <c r="FLJ1" s="110"/>
      <c r="FLK1" s="110"/>
      <c r="FLL1" s="110"/>
      <c r="FLM1" s="110"/>
      <c r="FLN1" s="110"/>
      <c r="FLO1" s="110"/>
      <c r="FLP1" s="110"/>
      <c r="FLQ1" s="110"/>
      <c r="FLR1" s="110"/>
      <c r="FLS1" s="110"/>
      <c r="FLT1" s="110"/>
      <c r="FLU1" s="110"/>
      <c r="FLV1" s="110"/>
      <c r="FLW1" s="110"/>
      <c r="FLX1" s="110"/>
      <c r="FLY1" s="110"/>
      <c r="FLZ1" s="110"/>
      <c r="FMA1" s="110"/>
      <c r="FMB1" s="110"/>
      <c r="FMC1" s="110"/>
      <c r="FMD1" s="110"/>
      <c r="FME1" s="110"/>
      <c r="FMF1" s="110"/>
      <c r="FMG1" s="110"/>
      <c r="FMH1" s="110"/>
      <c r="FMI1" s="110"/>
      <c r="FMJ1" s="110"/>
      <c r="FMK1" s="110"/>
      <c r="FML1" s="110"/>
      <c r="FMM1" s="110"/>
      <c r="FMN1" s="110"/>
      <c r="FMO1" s="110"/>
      <c r="FMP1" s="110"/>
      <c r="FMQ1" s="110"/>
      <c r="FMR1" s="110"/>
      <c r="FMS1" s="110"/>
      <c r="FMT1" s="110"/>
      <c r="FMU1" s="110"/>
      <c r="FMV1" s="110"/>
      <c r="FMW1" s="110"/>
      <c r="FMX1" s="110"/>
      <c r="FMY1" s="110"/>
      <c r="FMZ1" s="110"/>
      <c r="FNA1" s="110"/>
      <c r="FNB1" s="110"/>
      <c r="FNC1" s="110"/>
      <c r="FND1" s="110"/>
      <c r="FNE1" s="110"/>
      <c r="FNF1" s="110"/>
      <c r="FNG1" s="110"/>
      <c r="FNH1" s="110"/>
      <c r="FNI1" s="110"/>
      <c r="FNJ1" s="110"/>
      <c r="FNK1" s="110"/>
      <c r="FNL1" s="110"/>
      <c r="FNM1" s="110"/>
      <c r="FNN1" s="110"/>
      <c r="FNO1" s="110"/>
      <c r="FNP1" s="110"/>
      <c r="FNQ1" s="110"/>
      <c r="FNR1" s="110"/>
      <c r="FNS1" s="110"/>
      <c r="FNT1" s="110"/>
      <c r="FNU1" s="110"/>
      <c r="FNV1" s="110"/>
      <c r="FNW1" s="110"/>
      <c r="FNX1" s="110"/>
      <c r="FNY1" s="110"/>
      <c r="FNZ1" s="110"/>
      <c r="FOA1" s="110"/>
      <c r="FOB1" s="110"/>
      <c r="FOC1" s="110"/>
      <c r="FOD1" s="110"/>
      <c r="FOE1" s="110"/>
      <c r="FOF1" s="110"/>
      <c r="FOG1" s="110"/>
      <c r="FOH1" s="110"/>
      <c r="FOI1" s="110"/>
      <c r="FOJ1" s="110"/>
      <c r="FOK1" s="110"/>
      <c r="FOL1" s="110"/>
      <c r="FOM1" s="110"/>
      <c r="FON1" s="110"/>
      <c r="FOO1" s="110"/>
      <c r="FOP1" s="110"/>
      <c r="FOQ1" s="110"/>
      <c r="FOR1" s="110"/>
      <c r="FOS1" s="110"/>
      <c r="FOT1" s="110"/>
      <c r="FOU1" s="110"/>
      <c r="FOV1" s="110"/>
      <c r="FOW1" s="110"/>
      <c r="FOX1" s="110"/>
      <c r="FOY1" s="110"/>
      <c r="FOZ1" s="110"/>
      <c r="FPA1" s="110"/>
      <c r="FPB1" s="110"/>
      <c r="FPC1" s="110"/>
      <c r="FPD1" s="110"/>
      <c r="FPE1" s="110"/>
      <c r="FPF1" s="110"/>
      <c r="FPG1" s="110"/>
      <c r="FPH1" s="110"/>
      <c r="FPI1" s="110"/>
      <c r="FPJ1" s="110"/>
      <c r="FPK1" s="110"/>
      <c r="FPL1" s="110"/>
      <c r="FPM1" s="110"/>
      <c r="FPN1" s="110"/>
      <c r="FPO1" s="110"/>
      <c r="FPP1" s="110"/>
      <c r="FPQ1" s="110"/>
      <c r="FPR1" s="110"/>
      <c r="FPS1" s="110"/>
      <c r="FPT1" s="110"/>
      <c r="FPU1" s="110"/>
      <c r="FPV1" s="110"/>
      <c r="FPW1" s="110"/>
      <c r="FPX1" s="110"/>
      <c r="FPY1" s="110"/>
      <c r="FPZ1" s="110"/>
      <c r="FQA1" s="110"/>
      <c r="FQB1" s="110"/>
      <c r="FQC1" s="110"/>
      <c r="FQD1" s="110"/>
      <c r="FQE1" s="110"/>
      <c r="FQF1" s="110"/>
      <c r="FQG1" s="110"/>
      <c r="FQH1" s="110"/>
      <c r="FQI1" s="110"/>
      <c r="FQJ1" s="110"/>
      <c r="FQK1" s="110"/>
      <c r="FQL1" s="110"/>
      <c r="FQM1" s="110"/>
      <c r="FQN1" s="110"/>
      <c r="FQO1" s="110"/>
      <c r="FQP1" s="110"/>
      <c r="FQQ1" s="110"/>
      <c r="FQR1" s="110"/>
      <c r="FQS1" s="110"/>
      <c r="FQT1" s="110"/>
      <c r="FQU1" s="110"/>
      <c r="FQV1" s="110"/>
      <c r="FQW1" s="110"/>
      <c r="FQX1" s="110"/>
      <c r="FQY1" s="110"/>
      <c r="FQZ1" s="110"/>
      <c r="FRA1" s="110"/>
      <c r="FRB1" s="110"/>
      <c r="FRC1" s="110"/>
      <c r="FRD1" s="110"/>
      <c r="FRE1" s="110"/>
      <c r="FRF1" s="110"/>
      <c r="FRG1" s="110"/>
      <c r="FRH1" s="110"/>
      <c r="FRI1" s="110"/>
      <c r="FRJ1" s="110"/>
      <c r="FRK1" s="110"/>
      <c r="FRL1" s="110"/>
      <c r="FRM1" s="110"/>
      <c r="FRN1" s="110"/>
      <c r="FRO1" s="110"/>
      <c r="FRP1" s="110"/>
      <c r="FRQ1" s="110"/>
      <c r="FRR1" s="110"/>
      <c r="FRS1" s="110"/>
      <c r="FRT1" s="110"/>
      <c r="FRU1" s="110"/>
      <c r="FRV1" s="110"/>
      <c r="FRW1" s="110"/>
      <c r="FRX1" s="110"/>
      <c r="FRY1" s="110"/>
      <c r="FRZ1" s="110"/>
      <c r="FSA1" s="110"/>
      <c r="FSB1" s="110"/>
      <c r="FSC1" s="110"/>
      <c r="FSD1" s="110"/>
      <c r="FSE1" s="110"/>
      <c r="FSF1" s="110"/>
      <c r="FSG1" s="110"/>
      <c r="FSH1" s="110"/>
      <c r="FSI1" s="110"/>
      <c r="FSJ1" s="110"/>
      <c r="FSK1" s="110"/>
      <c r="FSL1" s="110"/>
      <c r="FSM1" s="110"/>
      <c r="FSN1" s="110"/>
      <c r="FSO1" s="110"/>
      <c r="FSP1" s="110"/>
      <c r="FSQ1" s="110"/>
      <c r="FSR1" s="110"/>
      <c r="FSS1" s="110"/>
      <c r="FST1" s="110"/>
      <c r="FSU1" s="110"/>
      <c r="FSV1" s="110"/>
      <c r="FSW1" s="110"/>
      <c r="FSX1" s="110"/>
      <c r="FSY1" s="110"/>
      <c r="FSZ1" s="110"/>
      <c r="FTA1" s="110"/>
      <c r="FTB1" s="110"/>
      <c r="FTC1" s="110"/>
      <c r="FTD1" s="110"/>
      <c r="FTE1" s="110"/>
      <c r="FTF1" s="110"/>
      <c r="FTG1" s="110"/>
      <c r="FTH1" s="110"/>
      <c r="FTI1" s="110"/>
      <c r="FTJ1" s="110"/>
      <c r="FTK1" s="110"/>
      <c r="FTL1" s="110"/>
      <c r="FTM1" s="110"/>
      <c r="FTN1" s="110"/>
      <c r="FTO1" s="110"/>
      <c r="FTP1" s="110"/>
      <c r="FTQ1" s="110"/>
      <c r="FTR1" s="110"/>
      <c r="FTS1" s="110"/>
      <c r="FTT1" s="110"/>
      <c r="FTU1" s="110"/>
      <c r="FTV1" s="110"/>
      <c r="FTW1" s="110"/>
      <c r="FTX1" s="110"/>
      <c r="FTY1" s="110"/>
      <c r="FTZ1" s="110"/>
      <c r="FUA1" s="110"/>
      <c r="FUB1" s="110"/>
      <c r="FUC1" s="110"/>
      <c r="FUD1" s="110"/>
      <c r="FUE1" s="110"/>
      <c r="FUF1" s="110"/>
      <c r="FUG1" s="110"/>
      <c r="FUH1" s="110"/>
      <c r="FUI1" s="110"/>
      <c r="FUJ1" s="110"/>
      <c r="FUK1" s="110"/>
      <c r="FUL1" s="110"/>
      <c r="FUM1" s="110"/>
      <c r="FUN1" s="110"/>
      <c r="FUO1" s="110"/>
      <c r="FUP1" s="110"/>
      <c r="FUQ1" s="110"/>
      <c r="FUR1" s="110"/>
      <c r="FUS1" s="110"/>
      <c r="FUT1" s="110"/>
      <c r="FUU1" s="110"/>
      <c r="FUV1" s="110"/>
      <c r="FUW1" s="110"/>
      <c r="FUX1" s="110"/>
      <c r="FUY1" s="110"/>
      <c r="FUZ1" s="110"/>
      <c r="FVA1" s="110"/>
      <c r="FVB1" s="110"/>
      <c r="FVC1" s="110"/>
      <c r="FVD1" s="110"/>
      <c r="FVE1" s="110"/>
      <c r="FVF1" s="110"/>
      <c r="FVG1" s="110"/>
      <c r="FVH1" s="110"/>
      <c r="FVI1" s="110"/>
      <c r="FVJ1" s="110"/>
      <c r="FVK1" s="110"/>
      <c r="FVL1" s="110"/>
      <c r="FVM1" s="110"/>
      <c r="FVN1" s="110"/>
      <c r="FVO1" s="110"/>
      <c r="FVP1" s="110"/>
      <c r="FVQ1" s="110"/>
      <c r="FVR1" s="110"/>
      <c r="FVS1" s="110"/>
      <c r="FVT1" s="110"/>
      <c r="FVU1" s="110"/>
      <c r="FVV1" s="110"/>
      <c r="FVW1" s="110"/>
      <c r="FVX1" s="110"/>
      <c r="FVY1" s="110"/>
      <c r="FVZ1" s="110"/>
      <c r="FWA1" s="110"/>
      <c r="FWB1" s="110"/>
      <c r="FWC1" s="110"/>
      <c r="FWD1" s="110"/>
      <c r="FWE1" s="110"/>
      <c r="FWF1" s="110"/>
      <c r="FWG1" s="110"/>
      <c r="FWH1" s="110"/>
      <c r="FWI1" s="110"/>
      <c r="FWJ1" s="110"/>
      <c r="FWK1" s="110"/>
      <c r="FWL1" s="110"/>
      <c r="FWM1" s="110"/>
      <c r="FWN1" s="110"/>
      <c r="FWO1" s="110"/>
      <c r="FWP1" s="110"/>
      <c r="FWQ1" s="110"/>
      <c r="FWR1" s="110"/>
      <c r="FWS1" s="110"/>
      <c r="FWT1" s="110"/>
      <c r="FWU1" s="110"/>
      <c r="FWV1" s="110"/>
      <c r="FWW1" s="110"/>
      <c r="FWX1" s="110"/>
      <c r="FWY1" s="110"/>
      <c r="FWZ1" s="110"/>
      <c r="FXA1" s="110"/>
      <c r="FXB1" s="110"/>
      <c r="FXC1" s="110"/>
      <c r="FXD1" s="110"/>
      <c r="FXE1" s="110"/>
      <c r="FXF1" s="110"/>
      <c r="FXG1" s="110"/>
      <c r="FXH1" s="110"/>
      <c r="FXI1" s="110"/>
      <c r="FXJ1" s="110"/>
      <c r="FXK1" s="110"/>
      <c r="FXL1" s="110"/>
      <c r="FXM1" s="110"/>
      <c r="FXN1" s="110"/>
      <c r="FXO1" s="110"/>
      <c r="FXP1" s="110"/>
      <c r="FXQ1" s="110"/>
      <c r="FXR1" s="110"/>
      <c r="FXS1" s="110"/>
      <c r="FXT1" s="110"/>
      <c r="FXU1" s="110"/>
      <c r="FXV1" s="110"/>
      <c r="FXW1" s="110"/>
      <c r="FXX1" s="110"/>
      <c r="FXY1" s="110"/>
      <c r="FXZ1" s="110"/>
      <c r="FYA1" s="110"/>
      <c r="FYB1" s="110"/>
      <c r="FYC1" s="110"/>
      <c r="FYD1" s="110"/>
      <c r="FYE1" s="110"/>
      <c r="FYF1" s="110"/>
      <c r="FYG1" s="110"/>
      <c r="FYH1" s="110"/>
      <c r="FYI1" s="110"/>
      <c r="FYJ1" s="110"/>
      <c r="FYK1" s="110"/>
      <c r="FYL1" s="110"/>
      <c r="FYM1" s="110"/>
      <c r="FYN1" s="110"/>
      <c r="FYO1" s="110"/>
      <c r="FYP1" s="110"/>
      <c r="FYQ1" s="110"/>
      <c r="FYR1" s="110"/>
      <c r="FYS1" s="110"/>
      <c r="FYT1" s="110"/>
      <c r="FYU1" s="110"/>
      <c r="FYV1" s="110"/>
      <c r="FYW1" s="110"/>
      <c r="FYX1" s="110"/>
      <c r="FYY1" s="110"/>
      <c r="FYZ1" s="110"/>
      <c r="FZA1" s="110"/>
      <c r="FZB1" s="110"/>
      <c r="FZC1" s="110"/>
      <c r="FZD1" s="110"/>
      <c r="FZE1" s="110"/>
      <c r="FZF1" s="110"/>
      <c r="FZG1" s="110"/>
      <c r="FZH1" s="110"/>
      <c r="FZI1" s="110"/>
      <c r="FZJ1" s="110"/>
      <c r="FZK1" s="110"/>
      <c r="FZL1" s="110"/>
      <c r="FZM1" s="110"/>
      <c r="FZN1" s="110"/>
      <c r="FZO1" s="110"/>
      <c r="FZP1" s="110"/>
      <c r="FZQ1" s="110"/>
      <c r="FZR1" s="110"/>
      <c r="FZS1" s="110"/>
      <c r="FZT1" s="110"/>
      <c r="FZU1" s="110"/>
      <c r="FZV1" s="110"/>
      <c r="FZW1" s="110"/>
      <c r="FZX1" s="110"/>
      <c r="FZY1" s="110"/>
      <c r="FZZ1" s="110"/>
      <c r="GAA1" s="110"/>
      <c r="GAB1" s="110"/>
      <c r="GAC1" s="110"/>
      <c r="GAD1" s="110"/>
      <c r="GAE1" s="110"/>
      <c r="GAF1" s="110"/>
      <c r="GAG1" s="110"/>
      <c r="GAH1" s="110"/>
      <c r="GAI1" s="110"/>
      <c r="GAJ1" s="110"/>
      <c r="GAK1" s="110"/>
      <c r="GAL1" s="110"/>
      <c r="GAM1" s="110"/>
      <c r="GAN1" s="110"/>
      <c r="GAO1" s="110"/>
      <c r="GAP1" s="110"/>
      <c r="GAQ1" s="110"/>
      <c r="GAR1" s="110"/>
      <c r="GAS1" s="110"/>
      <c r="GAT1" s="110"/>
      <c r="GAU1" s="110"/>
      <c r="GAV1" s="110"/>
      <c r="GAW1" s="110"/>
      <c r="GAX1" s="110"/>
      <c r="GAY1" s="110"/>
      <c r="GAZ1" s="110"/>
      <c r="GBA1" s="110"/>
      <c r="GBB1" s="110"/>
      <c r="GBC1" s="110"/>
      <c r="GBD1" s="110"/>
      <c r="GBE1" s="110"/>
      <c r="GBF1" s="110"/>
      <c r="GBG1" s="110"/>
      <c r="GBH1" s="110"/>
      <c r="GBI1" s="110"/>
      <c r="GBJ1" s="110"/>
      <c r="GBK1" s="110"/>
      <c r="GBL1" s="110"/>
      <c r="GBM1" s="110"/>
      <c r="GBN1" s="110"/>
      <c r="GBO1" s="110"/>
      <c r="GBP1" s="110"/>
      <c r="GBQ1" s="110"/>
      <c r="GBR1" s="110"/>
      <c r="GBS1" s="110"/>
      <c r="GBT1" s="110"/>
      <c r="GBU1" s="110"/>
      <c r="GBV1" s="110"/>
      <c r="GBW1" s="110"/>
      <c r="GBX1" s="110"/>
      <c r="GBY1" s="110"/>
      <c r="GBZ1" s="110"/>
      <c r="GCA1" s="110"/>
      <c r="GCB1" s="110"/>
      <c r="GCC1" s="110"/>
      <c r="GCD1" s="110"/>
      <c r="GCE1" s="110"/>
      <c r="GCF1" s="110"/>
      <c r="GCG1" s="110"/>
      <c r="GCH1" s="110"/>
      <c r="GCI1" s="110"/>
      <c r="GCJ1" s="110"/>
      <c r="GCK1" s="110"/>
      <c r="GCL1" s="110"/>
      <c r="GCM1" s="110"/>
      <c r="GCN1" s="110"/>
      <c r="GCO1" s="110"/>
      <c r="GCP1" s="110"/>
      <c r="GCQ1" s="110"/>
      <c r="GCR1" s="110"/>
      <c r="GCS1" s="110"/>
      <c r="GCT1" s="110"/>
      <c r="GCU1" s="110"/>
      <c r="GCV1" s="110"/>
      <c r="GCW1" s="110"/>
      <c r="GCX1" s="110"/>
      <c r="GCY1" s="110"/>
      <c r="GCZ1" s="110"/>
      <c r="GDA1" s="110"/>
      <c r="GDB1" s="110"/>
      <c r="GDC1" s="110"/>
      <c r="GDD1" s="110"/>
      <c r="GDE1" s="110"/>
      <c r="GDF1" s="110"/>
      <c r="GDG1" s="110"/>
      <c r="GDH1" s="110"/>
      <c r="GDI1" s="110"/>
      <c r="GDJ1" s="110"/>
      <c r="GDK1" s="110"/>
      <c r="GDL1" s="110"/>
      <c r="GDM1" s="110"/>
      <c r="GDN1" s="110"/>
      <c r="GDO1" s="110"/>
      <c r="GDP1" s="110"/>
      <c r="GDQ1" s="110"/>
      <c r="GDR1" s="110"/>
      <c r="GDS1" s="110"/>
      <c r="GDT1" s="110"/>
      <c r="GDU1" s="110"/>
      <c r="GDV1" s="110"/>
      <c r="GDW1" s="110"/>
      <c r="GDX1" s="110"/>
      <c r="GDY1" s="110"/>
      <c r="GDZ1" s="110"/>
      <c r="GEA1" s="110"/>
      <c r="GEB1" s="110"/>
      <c r="GEC1" s="110"/>
      <c r="GED1" s="110"/>
      <c r="GEE1" s="110"/>
      <c r="GEF1" s="110"/>
      <c r="GEG1" s="110"/>
      <c r="GEH1" s="110"/>
      <c r="GEI1" s="110"/>
      <c r="GEJ1" s="110"/>
      <c r="GEK1" s="110"/>
      <c r="GEL1" s="110"/>
      <c r="GEM1" s="110"/>
      <c r="GEN1" s="110"/>
      <c r="GEO1" s="110"/>
      <c r="GEP1" s="110"/>
      <c r="GEQ1" s="110"/>
      <c r="GER1" s="110"/>
      <c r="GES1" s="110"/>
      <c r="GET1" s="110"/>
      <c r="GEU1" s="110"/>
      <c r="GEV1" s="110"/>
      <c r="GEW1" s="110"/>
      <c r="GEX1" s="110"/>
      <c r="GEY1" s="110"/>
      <c r="GEZ1" s="110"/>
      <c r="GFA1" s="110"/>
      <c r="GFB1" s="110"/>
      <c r="GFC1" s="110"/>
      <c r="GFD1" s="110"/>
      <c r="GFE1" s="110"/>
      <c r="GFF1" s="110"/>
      <c r="GFG1" s="110"/>
      <c r="GFH1" s="110"/>
      <c r="GFI1" s="110"/>
      <c r="GFJ1" s="110"/>
      <c r="GFK1" s="110"/>
      <c r="GFL1" s="110"/>
      <c r="GFM1" s="110"/>
      <c r="GFN1" s="110"/>
      <c r="GFO1" s="110"/>
      <c r="GFP1" s="110"/>
      <c r="GFQ1" s="110"/>
      <c r="GFR1" s="110"/>
      <c r="GFS1" s="110"/>
      <c r="GFT1" s="110"/>
      <c r="GFU1" s="110"/>
      <c r="GFV1" s="110"/>
      <c r="GFW1" s="110"/>
      <c r="GFX1" s="110"/>
      <c r="GFY1" s="110"/>
      <c r="GFZ1" s="110"/>
      <c r="GGA1" s="110"/>
      <c r="GGB1" s="110"/>
      <c r="GGC1" s="110"/>
      <c r="GGD1" s="110"/>
      <c r="GGE1" s="110"/>
      <c r="GGF1" s="110"/>
      <c r="GGG1" s="110"/>
      <c r="GGH1" s="110"/>
      <c r="GGI1" s="110"/>
      <c r="GGJ1" s="110"/>
      <c r="GGK1" s="110"/>
      <c r="GGL1" s="110"/>
      <c r="GGM1" s="110"/>
      <c r="GGN1" s="110"/>
      <c r="GGO1" s="110"/>
      <c r="GGP1" s="110"/>
      <c r="GGQ1" s="110"/>
      <c r="GGR1" s="110"/>
      <c r="GGS1" s="110"/>
      <c r="GGT1" s="110"/>
      <c r="GGU1" s="110"/>
      <c r="GGV1" s="110"/>
      <c r="GGW1" s="110"/>
      <c r="GGX1" s="110"/>
      <c r="GGY1" s="110"/>
      <c r="GGZ1" s="110"/>
      <c r="GHA1" s="110"/>
      <c r="GHB1" s="110"/>
      <c r="GHC1" s="110"/>
      <c r="GHD1" s="110"/>
      <c r="GHE1" s="110"/>
      <c r="GHF1" s="110"/>
      <c r="GHG1" s="110"/>
      <c r="GHH1" s="110"/>
      <c r="GHI1" s="110"/>
      <c r="GHJ1" s="110"/>
      <c r="GHK1" s="110"/>
      <c r="GHL1" s="110"/>
      <c r="GHM1" s="110"/>
      <c r="GHN1" s="110"/>
      <c r="GHO1" s="110"/>
      <c r="GHP1" s="110"/>
      <c r="GHQ1" s="110"/>
      <c r="GHR1" s="110"/>
      <c r="GHS1" s="110"/>
      <c r="GHT1" s="110"/>
      <c r="GHU1" s="110"/>
      <c r="GHV1" s="110"/>
      <c r="GHW1" s="110"/>
      <c r="GHX1" s="110"/>
      <c r="GHY1" s="110"/>
      <c r="GHZ1" s="110"/>
      <c r="GIA1" s="110"/>
      <c r="GIB1" s="110"/>
      <c r="GIC1" s="110"/>
      <c r="GID1" s="110"/>
      <c r="GIE1" s="110"/>
      <c r="GIF1" s="110"/>
      <c r="GIG1" s="110"/>
      <c r="GIH1" s="110"/>
      <c r="GII1" s="110"/>
      <c r="GIJ1" s="110"/>
      <c r="GIK1" s="110"/>
      <c r="GIL1" s="110"/>
      <c r="GIM1" s="110"/>
      <c r="GIN1" s="110"/>
      <c r="GIO1" s="110"/>
      <c r="GIP1" s="110"/>
      <c r="GIQ1" s="110"/>
      <c r="GIR1" s="110"/>
      <c r="GIS1" s="110"/>
      <c r="GIT1" s="110"/>
      <c r="GIU1" s="110"/>
      <c r="GIV1" s="110"/>
      <c r="GIW1" s="110"/>
      <c r="GIX1" s="110"/>
      <c r="GIY1" s="110"/>
      <c r="GIZ1" s="110"/>
      <c r="GJA1" s="110"/>
      <c r="GJB1" s="110"/>
      <c r="GJC1" s="110"/>
      <c r="GJD1" s="110"/>
      <c r="GJE1" s="110"/>
      <c r="GJF1" s="110"/>
      <c r="GJG1" s="110"/>
      <c r="GJH1" s="110"/>
      <c r="GJI1" s="110"/>
      <c r="GJJ1" s="110"/>
      <c r="GJK1" s="110"/>
      <c r="GJL1" s="110"/>
      <c r="GJM1" s="110"/>
      <c r="GJN1" s="110"/>
      <c r="GJO1" s="110"/>
      <c r="GJP1" s="110"/>
      <c r="GJQ1" s="110"/>
      <c r="GJR1" s="110"/>
      <c r="GJS1" s="110"/>
      <c r="GJT1" s="110"/>
      <c r="GJU1" s="110"/>
      <c r="GJV1" s="110"/>
      <c r="GJW1" s="110"/>
      <c r="GJX1" s="110"/>
      <c r="GJY1" s="110"/>
      <c r="GJZ1" s="110"/>
      <c r="GKA1" s="110"/>
      <c r="GKB1" s="110"/>
      <c r="GKC1" s="110"/>
      <c r="GKD1" s="110"/>
      <c r="GKE1" s="110"/>
      <c r="GKF1" s="110"/>
      <c r="GKG1" s="110"/>
      <c r="GKH1" s="110"/>
      <c r="GKI1" s="110"/>
      <c r="GKJ1" s="110"/>
      <c r="GKK1" s="110"/>
      <c r="GKL1" s="110"/>
      <c r="GKM1" s="110"/>
      <c r="GKN1" s="110"/>
      <c r="GKO1" s="110"/>
      <c r="GKP1" s="110"/>
      <c r="GKQ1" s="110"/>
      <c r="GKR1" s="110"/>
      <c r="GKS1" s="110"/>
      <c r="GKT1" s="110"/>
      <c r="GKU1" s="110"/>
      <c r="GKV1" s="110"/>
      <c r="GKW1" s="110"/>
      <c r="GKX1" s="110"/>
      <c r="GKY1" s="110"/>
      <c r="GKZ1" s="110"/>
      <c r="GLA1" s="110"/>
      <c r="GLB1" s="110"/>
      <c r="GLC1" s="110"/>
      <c r="GLD1" s="110"/>
      <c r="GLE1" s="110"/>
      <c r="GLF1" s="110"/>
      <c r="GLG1" s="110"/>
      <c r="GLH1" s="110"/>
      <c r="GLI1" s="110"/>
      <c r="GLJ1" s="110"/>
      <c r="GLK1" s="110"/>
      <c r="GLL1" s="110"/>
      <c r="GLM1" s="110"/>
      <c r="GLN1" s="110"/>
      <c r="GLO1" s="110"/>
      <c r="GLP1" s="110"/>
      <c r="GLQ1" s="110"/>
      <c r="GLR1" s="110"/>
      <c r="GLS1" s="110"/>
      <c r="GLT1" s="110"/>
      <c r="GLU1" s="110"/>
      <c r="GLV1" s="110"/>
      <c r="GLW1" s="110"/>
      <c r="GLX1" s="110"/>
      <c r="GLY1" s="110"/>
      <c r="GLZ1" s="110"/>
      <c r="GMA1" s="110"/>
      <c r="GMB1" s="110"/>
      <c r="GMC1" s="110"/>
      <c r="GMD1" s="110"/>
      <c r="GME1" s="110"/>
      <c r="GMF1" s="110"/>
      <c r="GMG1" s="110"/>
      <c r="GMH1" s="110"/>
      <c r="GMI1" s="110"/>
      <c r="GMJ1" s="110"/>
      <c r="GMK1" s="110"/>
      <c r="GML1" s="110"/>
      <c r="GMM1" s="110"/>
      <c r="GMN1" s="110"/>
      <c r="GMO1" s="110"/>
      <c r="GMP1" s="110"/>
      <c r="GMQ1" s="110"/>
      <c r="GMR1" s="110"/>
      <c r="GMS1" s="110"/>
      <c r="GMT1" s="110"/>
      <c r="GMU1" s="110"/>
      <c r="GMV1" s="110"/>
      <c r="GMW1" s="110"/>
      <c r="GMX1" s="110"/>
      <c r="GMY1" s="110"/>
      <c r="GMZ1" s="110"/>
      <c r="GNA1" s="110"/>
      <c r="GNB1" s="110"/>
      <c r="GNC1" s="110"/>
      <c r="GND1" s="110"/>
      <c r="GNE1" s="110"/>
      <c r="GNF1" s="110"/>
      <c r="GNG1" s="110"/>
      <c r="GNH1" s="110"/>
      <c r="GNI1" s="110"/>
      <c r="GNJ1" s="110"/>
      <c r="GNK1" s="110"/>
      <c r="GNL1" s="110"/>
      <c r="GNM1" s="110"/>
      <c r="GNN1" s="110"/>
      <c r="GNO1" s="110"/>
      <c r="GNP1" s="110"/>
      <c r="GNQ1" s="110"/>
      <c r="GNR1" s="110"/>
      <c r="GNS1" s="110"/>
      <c r="GNT1" s="110"/>
      <c r="GNU1" s="110"/>
      <c r="GNV1" s="110"/>
      <c r="GNW1" s="110"/>
      <c r="GNX1" s="110"/>
      <c r="GNY1" s="110"/>
      <c r="GNZ1" s="110"/>
      <c r="GOA1" s="110"/>
      <c r="GOB1" s="110"/>
      <c r="GOC1" s="110"/>
      <c r="GOD1" s="110"/>
      <c r="GOE1" s="110"/>
      <c r="GOF1" s="110"/>
      <c r="GOG1" s="110"/>
      <c r="GOH1" s="110"/>
      <c r="GOI1" s="110"/>
      <c r="GOJ1" s="110"/>
      <c r="GOK1" s="110"/>
      <c r="GOL1" s="110"/>
      <c r="GOM1" s="110"/>
      <c r="GON1" s="110"/>
      <c r="GOO1" s="110"/>
      <c r="GOP1" s="110"/>
      <c r="GOQ1" s="110"/>
      <c r="GOR1" s="110"/>
      <c r="GOS1" s="110"/>
      <c r="GOT1" s="110"/>
      <c r="GOU1" s="110"/>
      <c r="GOV1" s="110"/>
      <c r="GOW1" s="110"/>
      <c r="GOX1" s="110"/>
      <c r="GOY1" s="110"/>
      <c r="GOZ1" s="110"/>
      <c r="GPA1" s="110"/>
      <c r="GPB1" s="110"/>
      <c r="GPC1" s="110"/>
      <c r="GPD1" s="110"/>
      <c r="GPE1" s="110"/>
      <c r="GPF1" s="110"/>
      <c r="GPG1" s="110"/>
      <c r="GPH1" s="110"/>
      <c r="GPI1" s="110"/>
      <c r="GPJ1" s="110"/>
      <c r="GPK1" s="110"/>
      <c r="GPL1" s="110"/>
      <c r="GPM1" s="110"/>
      <c r="GPN1" s="110"/>
      <c r="GPO1" s="110"/>
      <c r="GPP1" s="110"/>
      <c r="GPQ1" s="110"/>
      <c r="GPR1" s="110"/>
      <c r="GPS1" s="110"/>
      <c r="GPT1" s="110"/>
      <c r="GPU1" s="110"/>
      <c r="GPV1" s="110"/>
      <c r="GPW1" s="110"/>
      <c r="GPX1" s="110"/>
      <c r="GPY1" s="110"/>
      <c r="GPZ1" s="110"/>
      <c r="GQA1" s="110"/>
      <c r="GQB1" s="110"/>
      <c r="GQC1" s="110"/>
      <c r="GQD1" s="110"/>
      <c r="GQE1" s="110"/>
      <c r="GQF1" s="110"/>
      <c r="GQG1" s="110"/>
      <c r="GQH1" s="110"/>
      <c r="GQI1" s="110"/>
      <c r="GQJ1" s="110"/>
      <c r="GQK1" s="110"/>
      <c r="GQL1" s="110"/>
      <c r="GQM1" s="110"/>
      <c r="GQN1" s="110"/>
      <c r="GQO1" s="110"/>
      <c r="GQP1" s="110"/>
      <c r="GQQ1" s="110"/>
      <c r="GQR1" s="110"/>
      <c r="GQS1" s="110"/>
      <c r="GQT1" s="110"/>
      <c r="GQU1" s="110"/>
      <c r="GQV1" s="110"/>
      <c r="GQW1" s="110"/>
      <c r="GQX1" s="110"/>
      <c r="GQY1" s="110"/>
      <c r="GQZ1" s="110"/>
      <c r="GRA1" s="110"/>
      <c r="GRB1" s="110"/>
      <c r="GRC1" s="110"/>
      <c r="GRD1" s="110"/>
      <c r="GRE1" s="110"/>
      <c r="GRF1" s="110"/>
      <c r="GRG1" s="110"/>
      <c r="GRH1" s="110"/>
      <c r="GRI1" s="110"/>
      <c r="GRJ1" s="110"/>
      <c r="GRK1" s="110"/>
      <c r="GRL1" s="110"/>
      <c r="GRM1" s="110"/>
      <c r="GRN1" s="110"/>
      <c r="GRO1" s="110"/>
      <c r="GRP1" s="110"/>
      <c r="GRQ1" s="110"/>
      <c r="GRR1" s="110"/>
      <c r="GRS1" s="110"/>
      <c r="GRT1" s="110"/>
      <c r="GRU1" s="110"/>
      <c r="GRV1" s="110"/>
      <c r="GRW1" s="110"/>
      <c r="GRX1" s="110"/>
      <c r="GRY1" s="110"/>
      <c r="GRZ1" s="110"/>
      <c r="GSA1" s="110"/>
      <c r="GSB1" s="110"/>
      <c r="GSC1" s="110"/>
      <c r="GSD1" s="110"/>
      <c r="GSE1" s="110"/>
      <c r="GSF1" s="110"/>
      <c r="GSG1" s="110"/>
      <c r="GSH1" s="110"/>
      <c r="GSI1" s="110"/>
      <c r="GSJ1" s="110"/>
      <c r="GSK1" s="110"/>
      <c r="GSL1" s="110"/>
      <c r="GSM1" s="110"/>
      <c r="GSN1" s="110"/>
      <c r="GSO1" s="110"/>
      <c r="GSP1" s="110"/>
      <c r="GSQ1" s="110"/>
      <c r="GSR1" s="110"/>
      <c r="GSS1" s="110"/>
      <c r="GST1" s="110"/>
      <c r="GSU1" s="110"/>
      <c r="GSV1" s="110"/>
      <c r="GSW1" s="110"/>
      <c r="GSX1" s="110"/>
      <c r="GSY1" s="110"/>
      <c r="GSZ1" s="110"/>
      <c r="GTA1" s="110"/>
      <c r="GTB1" s="110"/>
      <c r="GTC1" s="110"/>
      <c r="GTD1" s="110"/>
      <c r="GTE1" s="110"/>
      <c r="GTF1" s="110"/>
      <c r="GTG1" s="110"/>
      <c r="GTH1" s="110"/>
      <c r="GTI1" s="110"/>
      <c r="GTJ1" s="110"/>
      <c r="GTK1" s="110"/>
      <c r="GTL1" s="110"/>
      <c r="GTM1" s="110"/>
      <c r="GTN1" s="110"/>
      <c r="GTO1" s="110"/>
      <c r="GTP1" s="110"/>
      <c r="GTQ1" s="110"/>
      <c r="GTR1" s="110"/>
      <c r="GTS1" s="110"/>
      <c r="GTT1" s="110"/>
      <c r="GTU1" s="110"/>
      <c r="GTV1" s="110"/>
      <c r="GTW1" s="110"/>
      <c r="GTX1" s="110"/>
      <c r="GTY1" s="110"/>
      <c r="GTZ1" s="110"/>
      <c r="GUA1" s="110"/>
      <c r="GUB1" s="110"/>
      <c r="GUC1" s="110"/>
      <c r="GUD1" s="110"/>
      <c r="GUE1" s="110"/>
      <c r="GUF1" s="110"/>
      <c r="GUG1" s="110"/>
      <c r="GUH1" s="110"/>
      <c r="GUI1" s="110"/>
      <c r="GUJ1" s="110"/>
      <c r="GUK1" s="110"/>
      <c r="GUL1" s="110"/>
      <c r="GUM1" s="110"/>
      <c r="GUN1" s="110"/>
      <c r="GUO1" s="110"/>
      <c r="GUP1" s="110"/>
      <c r="GUQ1" s="110"/>
      <c r="GUR1" s="110"/>
      <c r="GUS1" s="110"/>
      <c r="GUT1" s="110"/>
      <c r="GUU1" s="110"/>
      <c r="GUV1" s="110"/>
      <c r="GUW1" s="110"/>
      <c r="GUX1" s="110"/>
      <c r="GUY1" s="110"/>
      <c r="GUZ1" s="110"/>
      <c r="GVA1" s="110"/>
      <c r="GVB1" s="110"/>
      <c r="GVC1" s="110"/>
      <c r="GVD1" s="110"/>
      <c r="GVE1" s="110"/>
      <c r="GVF1" s="110"/>
      <c r="GVG1" s="110"/>
      <c r="GVH1" s="110"/>
      <c r="GVI1" s="110"/>
      <c r="GVJ1" s="110"/>
      <c r="GVK1" s="110"/>
      <c r="GVL1" s="110"/>
      <c r="GVM1" s="110"/>
      <c r="GVN1" s="110"/>
      <c r="GVO1" s="110"/>
      <c r="GVP1" s="110"/>
      <c r="GVQ1" s="110"/>
      <c r="GVR1" s="110"/>
      <c r="GVS1" s="110"/>
      <c r="GVT1" s="110"/>
      <c r="GVU1" s="110"/>
      <c r="GVV1" s="110"/>
      <c r="GVW1" s="110"/>
      <c r="GVX1" s="110"/>
      <c r="GVY1" s="110"/>
      <c r="GVZ1" s="110"/>
      <c r="GWA1" s="110"/>
      <c r="GWB1" s="110"/>
      <c r="GWC1" s="110"/>
      <c r="GWD1" s="110"/>
      <c r="GWE1" s="110"/>
      <c r="GWF1" s="110"/>
      <c r="GWG1" s="110"/>
      <c r="GWH1" s="110"/>
      <c r="GWI1" s="110"/>
      <c r="GWJ1" s="110"/>
      <c r="GWK1" s="110"/>
      <c r="GWL1" s="110"/>
      <c r="GWM1" s="110"/>
      <c r="GWN1" s="110"/>
      <c r="GWO1" s="110"/>
      <c r="GWP1" s="110"/>
      <c r="GWQ1" s="110"/>
      <c r="GWR1" s="110"/>
      <c r="GWS1" s="110"/>
      <c r="GWT1" s="110"/>
      <c r="GWU1" s="110"/>
      <c r="GWV1" s="110"/>
      <c r="GWW1" s="110"/>
      <c r="GWX1" s="110"/>
      <c r="GWY1" s="110"/>
      <c r="GWZ1" s="110"/>
      <c r="GXA1" s="110"/>
      <c r="GXB1" s="110"/>
      <c r="GXC1" s="110"/>
      <c r="GXD1" s="110"/>
      <c r="GXE1" s="110"/>
      <c r="GXF1" s="110"/>
      <c r="GXG1" s="110"/>
      <c r="GXH1" s="110"/>
      <c r="GXI1" s="110"/>
      <c r="GXJ1" s="110"/>
      <c r="GXK1" s="110"/>
      <c r="GXL1" s="110"/>
      <c r="GXM1" s="110"/>
      <c r="GXN1" s="110"/>
      <c r="GXO1" s="110"/>
      <c r="GXP1" s="110"/>
      <c r="GXQ1" s="110"/>
      <c r="GXR1" s="110"/>
      <c r="GXS1" s="110"/>
      <c r="GXT1" s="110"/>
      <c r="GXU1" s="110"/>
      <c r="GXV1" s="110"/>
      <c r="GXW1" s="110"/>
      <c r="GXX1" s="110"/>
      <c r="GXY1" s="110"/>
      <c r="GXZ1" s="110"/>
      <c r="GYA1" s="110"/>
      <c r="GYB1" s="110"/>
      <c r="GYC1" s="110"/>
      <c r="GYD1" s="110"/>
      <c r="GYE1" s="110"/>
      <c r="GYF1" s="110"/>
      <c r="GYG1" s="110"/>
      <c r="GYH1" s="110"/>
      <c r="GYI1" s="110"/>
      <c r="GYJ1" s="110"/>
      <c r="GYK1" s="110"/>
      <c r="GYL1" s="110"/>
      <c r="GYM1" s="110"/>
      <c r="GYN1" s="110"/>
      <c r="GYO1" s="110"/>
      <c r="GYP1" s="110"/>
      <c r="GYQ1" s="110"/>
      <c r="GYR1" s="110"/>
      <c r="GYS1" s="110"/>
      <c r="GYT1" s="110"/>
      <c r="GYU1" s="110"/>
      <c r="GYV1" s="110"/>
      <c r="GYW1" s="110"/>
      <c r="GYX1" s="110"/>
      <c r="GYY1" s="110"/>
      <c r="GYZ1" s="110"/>
      <c r="GZA1" s="110"/>
      <c r="GZB1" s="110"/>
      <c r="GZC1" s="110"/>
      <c r="GZD1" s="110"/>
      <c r="GZE1" s="110"/>
      <c r="GZF1" s="110"/>
      <c r="GZG1" s="110"/>
      <c r="GZH1" s="110"/>
      <c r="GZI1" s="110"/>
      <c r="GZJ1" s="110"/>
      <c r="GZK1" s="110"/>
      <c r="GZL1" s="110"/>
      <c r="GZM1" s="110"/>
      <c r="GZN1" s="110"/>
      <c r="GZO1" s="110"/>
      <c r="GZP1" s="110"/>
      <c r="GZQ1" s="110"/>
      <c r="GZR1" s="110"/>
      <c r="GZS1" s="110"/>
      <c r="GZT1" s="110"/>
      <c r="GZU1" s="110"/>
      <c r="GZV1" s="110"/>
      <c r="GZW1" s="110"/>
      <c r="GZX1" s="110"/>
      <c r="GZY1" s="110"/>
      <c r="GZZ1" s="110"/>
      <c r="HAA1" s="110"/>
      <c r="HAB1" s="110"/>
      <c r="HAC1" s="110"/>
      <c r="HAD1" s="110"/>
      <c r="HAE1" s="110"/>
      <c r="HAF1" s="110"/>
      <c r="HAG1" s="110"/>
      <c r="HAH1" s="110"/>
      <c r="HAI1" s="110"/>
      <c r="HAJ1" s="110"/>
      <c r="HAK1" s="110"/>
      <c r="HAL1" s="110"/>
      <c r="HAM1" s="110"/>
      <c r="HAN1" s="110"/>
      <c r="HAO1" s="110"/>
      <c r="HAP1" s="110"/>
      <c r="HAQ1" s="110"/>
      <c r="HAR1" s="110"/>
      <c r="HAS1" s="110"/>
      <c r="HAT1" s="110"/>
      <c r="HAU1" s="110"/>
      <c r="HAV1" s="110"/>
      <c r="HAW1" s="110"/>
      <c r="HAX1" s="110"/>
      <c r="HAY1" s="110"/>
      <c r="HAZ1" s="110"/>
      <c r="HBA1" s="110"/>
      <c r="HBB1" s="110"/>
      <c r="HBC1" s="110"/>
      <c r="HBD1" s="110"/>
      <c r="HBE1" s="110"/>
      <c r="HBF1" s="110"/>
      <c r="HBG1" s="110"/>
      <c r="HBH1" s="110"/>
      <c r="HBI1" s="110"/>
      <c r="HBJ1" s="110"/>
      <c r="HBK1" s="110"/>
      <c r="HBL1" s="110"/>
      <c r="HBM1" s="110"/>
      <c r="HBN1" s="110"/>
      <c r="HBO1" s="110"/>
      <c r="HBP1" s="110"/>
      <c r="HBQ1" s="110"/>
      <c r="HBR1" s="110"/>
      <c r="HBS1" s="110"/>
      <c r="HBT1" s="110"/>
      <c r="HBU1" s="110"/>
      <c r="HBV1" s="110"/>
      <c r="HBW1" s="110"/>
      <c r="HBX1" s="110"/>
      <c r="HBY1" s="110"/>
      <c r="HBZ1" s="110"/>
      <c r="HCA1" s="110"/>
      <c r="HCB1" s="110"/>
      <c r="HCC1" s="110"/>
      <c r="HCD1" s="110"/>
      <c r="HCE1" s="110"/>
      <c r="HCF1" s="110"/>
      <c r="HCG1" s="110"/>
      <c r="HCH1" s="110"/>
      <c r="HCI1" s="110"/>
      <c r="HCJ1" s="110"/>
      <c r="HCK1" s="110"/>
      <c r="HCL1" s="110"/>
      <c r="HCM1" s="110"/>
      <c r="HCN1" s="110"/>
      <c r="HCO1" s="110"/>
      <c r="HCP1" s="110"/>
      <c r="HCQ1" s="110"/>
      <c r="HCR1" s="110"/>
      <c r="HCS1" s="110"/>
      <c r="HCT1" s="110"/>
      <c r="HCU1" s="110"/>
      <c r="HCV1" s="110"/>
      <c r="HCW1" s="110"/>
      <c r="HCX1" s="110"/>
      <c r="HCY1" s="110"/>
      <c r="HCZ1" s="110"/>
      <c r="HDA1" s="110"/>
      <c r="HDB1" s="110"/>
      <c r="HDC1" s="110"/>
      <c r="HDD1" s="110"/>
      <c r="HDE1" s="110"/>
      <c r="HDF1" s="110"/>
      <c r="HDG1" s="110"/>
      <c r="HDH1" s="110"/>
      <c r="HDI1" s="110"/>
      <c r="HDJ1" s="110"/>
      <c r="HDK1" s="110"/>
      <c r="HDL1" s="110"/>
      <c r="HDM1" s="110"/>
      <c r="HDN1" s="110"/>
      <c r="HDO1" s="110"/>
      <c r="HDP1" s="110"/>
      <c r="HDQ1" s="110"/>
      <c r="HDR1" s="110"/>
      <c r="HDS1" s="110"/>
      <c r="HDT1" s="110"/>
      <c r="HDU1" s="110"/>
      <c r="HDV1" s="110"/>
      <c r="HDW1" s="110"/>
      <c r="HDX1" s="110"/>
      <c r="HDY1" s="110"/>
      <c r="HDZ1" s="110"/>
      <c r="HEA1" s="110"/>
      <c r="HEB1" s="110"/>
      <c r="HEC1" s="110"/>
      <c r="HED1" s="110"/>
      <c r="HEE1" s="110"/>
      <c r="HEF1" s="110"/>
      <c r="HEG1" s="110"/>
      <c r="HEH1" s="110"/>
      <c r="HEI1" s="110"/>
      <c r="HEJ1" s="110"/>
      <c r="HEK1" s="110"/>
      <c r="HEL1" s="110"/>
      <c r="HEM1" s="110"/>
      <c r="HEN1" s="110"/>
      <c r="HEO1" s="110"/>
      <c r="HEP1" s="110"/>
      <c r="HEQ1" s="110"/>
      <c r="HER1" s="110"/>
      <c r="HES1" s="110"/>
      <c r="HET1" s="110"/>
      <c r="HEU1" s="110"/>
      <c r="HEV1" s="110"/>
      <c r="HEW1" s="110"/>
      <c r="HEX1" s="110"/>
      <c r="HEY1" s="110"/>
      <c r="HEZ1" s="110"/>
      <c r="HFA1" s="110"/>
      <c r="HFB1" s="110"/>
      <c r="HFC1" s="110"/>
      <c r="HFD1" s="110"/>
      <c r="HFE1" s="110"/>
      <c r="HFF1" s="110"/>
      <c r="HFG1" s="110"/>
      <c r="HFH1" s="110"/>
      <c r="HFI1" s="110"/>
      <c r="HFJ1" s="110"/>
      <c r="HFK1" s="110"/>
      <c r="HFL1" s="110"/>
      <c r="HFM1" s="110"/>
      <c r="HFN1" s="110"/>
      <c r="HFO1" s="110"/>
      <c r="HFP1" s="110"/>
      <c r="HFQ1" s="110"/>
      <c r="HFR1" s="110"/>
      <c r="HFS1" s="110"/>
      <c r="HFT1" s="110"/>
      <c r="HFU1" s="110"/>
      <c r="HFV1" s="110"/>
      <c r="HFW1" s="110"/>
      <c r="HFX1" s="110"/>
      <c r="HFY1" s="110"/>
      <c r="HFZ1" s="110"/>
      <c r="HGA1" s="110"/>
      <c r="HGB1" s="110"/>
      <c r="HGC1" s="110"/>
      <c r="HGD1" s="110"/>
      <c r="HGE1" s="110"/>
      <c r="HGF1" s="110"/>
      <c r="HGG1" s="110"/>
      <c r="HGH1" s="110"/>
      <c r="HGI1" s="110"/>
      <c r="HGJ1" s="110"/>
      <c r="HGK1" s="110"/>
      <c r="HGL1" s="110"/>
      <c r="HGM1" s="110"/>
      <c r="HGN1" s="110"/>
      <c r="HGO1" s="110"/>
      <c r="HGP1" s="110"/>
      <c r="HGQ1" s="110"/>
      <c r="HGR1" s="110"/>
      <c r="HGS1" s="110"/>
      <c r="HGT1" s="110"/>
      <c r="HGU1" s="110"/>
      <c r="HGV1" s="110"/>
      <c r="HGW1" s="110"/>
      <c r="HGX1" s="110"/>
      <c r="HGY1" s="110"/>
      <c r="HGZ1" s="110"/>
      <c r="HHA1" s="110"/>
      <c r="HHB1" s="110"/>
      <c r="HHC1" s="110"/>
      <c r="HHD1" s="110"/>
      <c r="HHE1" s="110"/>
      <c r="HHF1" s="110"/>
      <c r="HHG1" s="110"/>
      <c r="HHH1" s="110"/>
      <c r="HHI1" s="110"/>
      <c r="HHJ1" s="110"/>
      <c r="HHK1" s="110"/>
      <c r="HHL1" s="110"/>
      <c r="HHM1" s="110"/>
      <c r="HHN1" s="110"/>
      <c r="HHO1" s="110"/>
      <c r="HHP1" s="110"/>
      <c r="HHQ1" s="110"/>
      <c r="HHR1" s="110"/>
      <c r="HHS1" s="110"/>
      <c r="HHT1" s="110"/>
      <c r="HHU1" s="110"/>
      <c r="HHV1" s="110"/>
      <c r="HHW1" s="110"/>
      <c r="HHX1" s="110"/>
      <c r="HHY1" s="110"/>
      <c r="HHZ1" s="110"/>
      <c r="HIA1" s="110"/>
      <c r="HIB1" s="110"/>
      <c r="HIC1" s="110"/>
      <c r="HID1" s="110"/>
      <c r="HIE1" s="110"/>
      <c r="HIF1" s="110"/>
      <c r="HIG1" s="110"/>
      <c r="HIH1" s="110"/>
      <c r="HII1" s="110"/>
      <c r="HIJ1" s="110"/>
      <c r="HIK1" s="110"/>
      <c r="HIL1" s="110"/>
      <c r="HIM1" s="110"/>
      <c r="HIN1" s="110"/>
      <c r="HIO1" s="110"/>
      <c r="HIP1" s="110"/>
      <c r="HIQ1" s="110"/>
      <c r="HIR1" s="110"/>
      <c r="HIS1" s="110"/>
      <c r="HIT1" s="110"/>
      <c r="HIU1" s="110"/>
      <c r="HIV1" s="110"/>
      <c r="HIW1" s="110"/>
      <c r="HIX1" s="110"/>
      <c r="HIY1" s="110"/>
      <c r="HIZ1" s="110"/>
      <c r="HJA1" s="110"/>
      <c r="HJB1" s="110"/>
      <c r="HJC1" s="110"/>
      <c r="HJD1" s="110"/>
      <c r="HJE1" s="110"/>
      <c r="HJF1" s="110"/>
      <c r="HJG1" s="110"/>
      <c r="HJH1" s="110"/>
      <c r="HJI1" s="110"/>
      <c r="HJJ1" s="110"/>
      <c r="HJK1" s="110"/>
      <c r="HJL1" s="110"/>
      <c r="HJM1" s="110"/>
      <c r="HJN1" s="110"/>
      <c r="HJO1" s="110"/>
      <c r="HJP1" s="110"/>
      <c r="HJQ1" s="110"/>
      <c r="HJR1" s="110"/>
      <c r="HJS1" s="110"/>
      <c r="HJT1" s="110"/>
      <c r="HJU1" s="110"/>
      <c r="HJV1" s="110"/>
      <c r="HJW1" s="110"/>
      <c r="HJX1" s="110"/>
      <c r="HJY1" s="110"/>
      <c r="HJZ1" s="110"/>
      <c r="HKA1" s="110"/>
      <c r="HKB1" s="110"/>
      <c r="HKC1" s="110"/>
      <c r="HKD1" s="110"/>
      <c r="HKE1" s="110"/>
      <c r="HKF1" s="110"/>
      <c r="HKG1" s="110"/>
      <c r="HKH1" s="110"/>
      <c r="HKI1" s="110"/>
      <c r="HKJ1" s="110"/>
      <c r="HKK1" s="110"/>
      <c r="HKL1" s="110"/>
      <c r="HKM1" s="110"/>
      <c r="HKN1" s="110"/>
      <c r="HKO1" s="110"/>
      <c r="HKP1" s="110"/>
      <c r="HKQ1" s="110"/>
      <c r="HKR1" s="110"/>
      <c r="HKS1" s="110"/>
      <c r="HKT1" s="110"/>
      <c r="HKU1" s="110"/>
      <c r="HKV1" s="110"/>
      <c r="HKW1" s="110"/>
      <c r="HKX1" s="110"/>
      <c r="HKY1" s="110"/>
      <c r="HKZ1" s="110"/>
      <c r="HLA1" s="110"/>
      <c r="HLB1" s="110"/>
      <c r="HLC1" s="110"/>
      <c r="HLD1" s="110"/>
      <c r="HLE1" s="110"/>
      <c r="HLF1" s="110"/>
      <c r="HLG1" s="110"/>
      <c r="HLH1" s="110"/>
      <c r="HLI1" s="110"/>
      <c r="HLJ1" s="110"/>
      <c r="HLK1" s="110"/>
      <c r="HLL1" s="110"/>
      <c r="HLM1" s="110"/>
      <c r="HLN1" s="110"/>
      <c r="HLO1" s="110"/>
      <c r="HLP1" s="110"/>
      <c r="HLQ1" s="110"/>
      <c r="HLR1" s="110"/>
      <c r="HLS1" s="110"/>
      <c r="HLT1" s="110"/>
      <c r="HLU1" s="110"/>
      <c r="HLV1" s="110"/>
      <c r="HLW1" s="110"/>
      <c r="HLX1" s="110"/>
      <c r="HLY1" s="110"/>
      <c r="HLZ1" s="110"/>
      <c r="HMA1" s="110"/>
      <c r="HMB1" s="110"/>
      <c r="HMC1" s="110"/>
      <c r="HMD1" s="110"/>
      <c r="HME1" s="110"/>
      <c r="HMF1" s="110"/>
      <c r="HMG1" s="110"/>
      <c r="HMH1" s="110"/>
      <c r="HMI1" s="110"/>
      <c r="HMJ1" s="110"/>
      <c r="HMK1" s="110"/>
      <c r="HML1" s="110"/>
      <c r="HMM1" s="110"/>
      <c r="HMN1" s="110"/>
      <c r="HMO1" s="110"/>
      <c r="HMP1" s="110"/>
      <c r="HMQ1" s="110"/>
      <c r="HMR1" s="110"/>
      <c r="HMS1" s="110"/>
      <c r="HMT1" s="110"/>
      <c r="HMU1" s="110"/>
      <c r="HMV1" s="110"/>
      <c r="HMW1" s="110"/>
      <c r="HMX1" s="110"/>
      <c r="HMY1" s="110"/>
      <c r="HMZ1" s="110"/>
      <c r="HNA1" s="110"/>
      <c r="HNB1" s="110"/>
      <c r="HNC1" s="110"/>
      <c r="HND1" s="110"/>
      <c r="HNE1" s="110"/>
      <c r="HNF1" s="110"/>
      <c r="HNG1" s="110"/>
      <c r="HNH1" s="110"/>
      <c r="HNI1" s="110"/>
      <c r="HNJ1" s="110"/>
      <c r="HNK1" s="110"/>
      <c r="HNL1" s="110"/>
      <c r="HNM1" s="110"/>
      <c r="HNN1" s="110"/>
      <c r="HNO1" s="110"/>
      <c r="HNP1" s="110"/>
      <c r="HNQ1" s="110"/>
      <c r="HNR1" s="110"/>
      <c r="HNS1" s="110"/>
      <c r="HNT1" s="110"/>
      <c r="HNU1" s="110"/>
      <c r="HNV1" s="110"/>
      <c r="HNW1" s="110"/>
      <c r="HNX1" s="110"/>
      <c r="HNY1" s="110"/>
      <c r="HNZ1" s="110"/>
      <c r="HOA1" s="110"/>
      <c r="HOB1" s="110"/>
      <c r="HOC1" s="110"/>
      <c r="HOD1" s="110"/>
      <c r="HOE1" s="110"/>
      <c r="HOF1" s="110"/>
      <c r="HOG1" s="110"/>
      <c r="HOH1" s="110"/>
      <c r="HOI1" s="110"/>
      <c r="HOJ1" s="110"/>
      <c r="HOK1" s="110"/>
      <c r="HOL1" s="110"/>
      <c r="HOM1" s="110"/>
      <c r="HON1" s="110"/>
      <c r="HOO1" s="110"/>
      <c r="HOP1" s="110"/>
      <c r="HOQ1" s="110"/>
      <c r="HOR1" s="110"/>
      <c r="HOS1" s="110"/>
      <c r="HOT1" s="110"/>
      <c r="HOU1" s="110"/>
      <c r="HOV1" s="110"/>
      <c r="HOW1" s="110"/>
      <c r="HOX1" s="110"/>
      <c r="HOY1" s="110"/>
      <c r="HOZ1" s="110"/>
      <c r="HPA1" s="110"/>
      <c r="HPB1" s="110"/>
      <c r="HPC1" s="110"/>
      <c r="HPD1" s="110"/>
      <c r="HPE1" s="110"/>
      <c r="HPF1" s="110"/>
      <c r="HPG1" s="110"/>
      <c r="HPH1" s="110"/>
      <c r="HPI1" s="110"/>
      <c r="HPJ1" s="110"/>
      <c r="HPK1" s="110"/>
      <c r="HPL1" s="110"/>
      <c r="HPM1" s="110"/>
      <c r="HPN1" s="110"/>
      <c r="HPO1" s="110"/>
      <c r="HPP1" s="110"/>
      <c r="HPQ1" s="110"/>
      <c r="HPR1" s="110"/>
      <c r="HPS1" s="110"/>
      <c r="HPT1" s="110"/>
      <c r="HPU1" s="110"/>
      <c r="HPV1" s="110"/>
      <c r="HPW1" s="110"/>
      <c r="HPX1" s="110"/>
      <c r="HPY1" s="110"/>
      <c r="HPZ1" s="110"/>
      <c r="HQA1" s="110"/>
      <c r="HQB1" s="110"/>
      <c r="HQC1" s="110"/>
      <c r="HQD1" s="110"/>
      <c r="HQE1" s="110"/>
      <c r="HQF1" s="110"/>
      <c r="HQG1" s="110"/>
      <c r="HQH1" s="110"/>
      <c r="HQI1" s="110"/>
      <c r="HQJ1" s="110"/>
      <c r="HQK1" s="110"/>
      <c r="HQL1" s="110"/>
      <c r="HQM1" s="110"/>
      <c r="HQN1" s="110"/>
      <c r="HQO1" s="110"/>
      <c r="HQP1" s="110"/>
      <c r="HQQ1" s="110"/>
      <c r="HQR1" s="110"/>
      <c r="HQS1" s="110"/>
      <c r="HQT1" s="110"/>
      <c r="HQU1" s="110"/>
      <c r="HQV1" s="110"/>
      <c r="HQW1" s="110"/>
      <c r="HQX1" s="110"/>
      <c r="HQY1" s="110"/>
      <c r="HQZ1" s="110"/>
      <c r="HRA1" s="110"/>
      <c r="HRB1" s="110"/>
      <c r="HRC1" s="110"/>
      <c r="HRD1" s="110"/>
      <c r="HRE1" s="110"/>
      <c r="HRF1" s="110"/>
      <c r="HRG1" s="110"/>
      <c r="HRH1" s="110"/>
      <c r="HRI1" s="110"/>
      <c r="HRJ1" s="110"/>
      <c r="HRK1" s="110"/>
      <c r="HRL1" s="110"/>
      <c r="HRM1" s="110"/>
      <c r="HRN1" s="110"/>
      <c r="HRO1" s="110"/>
      <c r="HRP1" s="110"/>
      <c r="HRQ1" s="110"/>
      <c r="HRR1" s="110"/>
      <c r="HRS1" s="110"/>
      <c r="HRT1" s="110"/>
      <c r="HRU1" s="110"/>
      <c r="HRV1" s="110"/>
      <c r="HRW1" s="110"/>
      <c r="HRX1" s="110"/>
      <c r="HRY1" s="110"/>
      <c r="HRZ1" s="110"/>
      <c r="HSA1" s="110"/>
      <c r="HSB1" s="110"/>
      <c r="HSC1" s="110"/>
      <c r="HSD1" s="110"/>
      <c r="HSE1" s="110"/>
      <c r="HSF1" s="110"/>
      <c r="HSG1" s="110"/>
      <c r="HSH1" s="110"/>
      <c r="HSI1" s="110"/>
      <c r="HSJ1" s="110"/>
      <c r="HSK1" s="110"/>
      <c r="HSL1" s="110"/>
      <c r="HSM1" s="110"/>
      <c r="HSN1" s="110"/>
      <c r="HSO1" s="110"/>
      <c r="HSP1" s="110"/>
      <c r="HSQ1" s="110"/>
      <c r="HSR1" s="110"/>
      <c r="HSS1" s="110"/>
      <c r="HST1" s="110"/>
      <c r="HSU1" s="110"/>
      <c r="HSV1" s="110"/>
      <c r="HSW1" s="110"/>
      <c r="HSX1" s="110"/>
      <c r="HSY1" s="110"/>
      <c r="HSZ1" s="110"/>
      <c r="HTA1" s="110"/>
      <c r="HTB1" s="110"/>
      <c r="HTC1" s="110"/>
      <c r="HTD1" s="110"/>
      <c r="HTE1" s="110"/>
      <c r="HTF1" s="110"/>
      <c r="HTG1" s="110"/>
      <c r="HTH1" s="110"/>
      <c r="HTI1" s="110"/>
      <c r="HTJ1" s="110"/>
      <c r="HTK1" s="110"/>
      <c r="HTL1" s="110"/>
      <c r="HTM1" s="110"/>
      <c r="HTN1" s="110"/>
      <c r="HTO1" s="110"/>
      <c r="HTP1" s="110"/>
      <c r="HTQ1" s="110"/>
      <c r="HTR1" s="110"/>
      <c r="HTS1" s="110"/>
      <c r="HTT1" s="110"/>
      <c r="HTU1" s="110"/>
      <c r="HTV1" s="110"/>
      <c r="HTW1" s="110"/>
      <c r="HTX1" s="110"/>
      <c r="HTY1" s="110"/>
      <c r="HTZ1" s="110"/>
      <c r="HUA1" s="110"/>
      <c r="HUB1" s="110"/>
      <c r="HUC1" s="110"/>
      <c r="HUD1" s="110"/>
      <c r="HUE1" s="110"/>
      <c r="HUF1" s="110"/>
      <c r="HUG1" s="110"/>
      <c r="HUH1" s="110"/>
      <c r="HUI1" s="110"/>
      <c r="HUJ1" s="110"/>
      <c r="HUK1" s="110"/>
      <c r="HUL1" s="110"/>
      <c r="HUM1" s="110"/>
      <c r="HUN1" s="110"/>
      <c r="HUO1" s="110"/>
      <c r="HUP1" s="110"/>
      <c r="HUQ1" s="110"/>
      <c r="HUR1" s="110"/>
      <c r="HUS1" s="110"/>
      <c r="HUT1" s="110"/>
      <c r="HUU1" s="110"/>
      <c r="HUV1" s="110"/>
      <c r="HUW1" s="110"/>
      <c r="HUX1" s="110"/>
      <c r="HUY1" s="110"/>
      <c r="HUZ1" s="110"/>
      <c r="HVA1" s="110"/>
      <c r="HVB1" s="110"/>
      <c r="HVC1" s="110"/>
      <c r="HVD1" s="110"/>
      <c r="HVE1" s="110"/>
      <c r="HVF1" s="110"/>
      <c r="HVG1" s="110"/>
      <c r="HVH1" s="110"/>
      <c r="HVI1" s="110"/>
      <c r="HVJ1" s="110"/>
      <c r="HVK1" s="110"/>
      <c r="HVL1" s="110"/>
      <c r="HVM1" s="110"/>
      <c r="HVN1" s="110"/>
      <c r="HVO1" s="110"/>
      <c r="HVP1" s="110"/>
      <c r="HVQ1" s="110"/>
      <c r="HVR1" s="110"/>
      <c r="HVS1" s="110"/>
      <c r="HVT1" s="110"/>
      <c r="HVU1" s="110"/>
      <c r="HVV1" s="110"/>
      <c r="HVW1" s="110"/>
      <c r="HVX1" s="110"/>
      <c r="HVY1" s="110"/>
      <c r="HVZ1" s="110"/>
      <c r="HWA1" s="110"/>
      <c r="HWB1" s="110"/>
      <c r="HWC1" s="110"/>
      <c r="HWD1" s="110"/>
      <c r="HWE1" s="110"/>
      <c r="HWF1" s="110"/>
      <c r="HWG1" s="110"/>
      <c r="HWH1" s="110"/>
      <c r="HWI1" s="110"/>
      <c r="HWJ1" s="110"/>
      <c r="HWK1" s="110"/>
      <c r="HWL1" s="110"/>
      <c r="HWM1" s="110"/>
      <c r="HWN1" s="110"/>
      <c r="HWO1" s="110"/>
      <c r="HWP1" s="110"/>
      <c r="HWQ1" s="110"/>
      <c r="HWR1" s="110"/>
      <c r="HWS1" s="110"/>
      <c r="HWT1" s="110"/>
      <c r="HWU1" s="110"/>
      <c r="HWV1" s="110"/>
      <c r="HWW1" s="110"/>
      <c r="HWX1" s="110"/>
      <c r="HWY1" s="110"/>
      <c r="HWZ1" s="110"/>
      <c r="HXA1" s="110"/>
      <c r="HXB1" s="110"/>
      <c r="HXC1" s="110"/>
      <c r="HXD1" s="110"/>
      <c r="HXE1" s="110"/>
      <c r="HXF1" s="110"/>
      <c r="HXG1" s="110"/>
      <c r="HXH1" s="110"/>
      <c r="HXI1" s="110"/>
      <c r="HXJ1" s="110"/>
      <c r="HXK1" s="110"/>
      <c r="HXL1" s="110"/>
      <c r="HXM1" s="110"/>
      <c r="HXN1" s="110"/>
      <c r="HXO1" s="110"/>
      <c r="HXP1" s="110"/>
      <c r="HXQ1" s="110"/>
      <c r="HXR1" s="110"/>
      <c r="HXS1" s="110"/>
      <c r="HXT1" s="110"/>
      <c r="HXU1" s="110"/>
      <c r="HXV1" s="110"/>
      <c r="HXW1" s="110"/>
      <c r="HXX1" s="110"/>
      <c r="HXY1" s="110"/>
      <c r="HXZ1" s="110"/>
      <c r="HYA1" s="110"/>
      <c r="HYB1" s="110"/>
      <c r="HYC1" s="110"/>
      <c r="HYD1" s="110"/>
      <c r="HYE1" s="110"/>
      <c r="HYF1" s="110"/>
      <c r="HYG1" s="110"/>
      <c r="HYH1" s="110"/>
      <c r="HYI1" s="110"/>
      <c r="HYJ1" s="110"/>
      <c r="HYK1" s="110"/>
      <c r="HYL1" s="110"/>
      <c r="HYM1" s="110"/>
      <c r="HYN1" s="110"/>
      <c r="HYO1" s="110"/>
      <c r="HYP1" s="110"/>
      <c r="HYQ1" s="110"/>
      <c r="HYR1" s="110"/>
      <c r="HYS1" s="110"/>
      <c r="HYT1" s="110"/>
      <c r="HYU1" s="110"/>
      <c r="HYV1" s="110"/>
      <c r="HYW1" s="110"/>
      <c r="HYX1" s="110"/>
      <c r="HYY1" s="110"/>
      <c r="HYZ1" s="110"/>
      <c r="HZA1" s="110"/>
      <c r="HZB1" s="110"/>
      <c r="HZC1" s="110"/>
      <c r="HZD1" s="110"/>
      <c r="HZE1" s="110"/>
      <c r="HZF1" s="110"/>
      <c r="HZG1" s="110"/>
      <c r="HZH1" s="110"/>
      <c r="HZI1" s="110"/>
      <c r="HZJ1" s="110"/>
      <c r="HZK1" s="110"/>
      <c r="HZL1" s="110"/>
      <c r="HZM1" s="110"/>
      <c r="HZN1" s="110"/>
      <c r="HZO1" s="110"/>
      <c r="HZP1" s="110"/>
      <c r="HZQ1" s="110"/>
      <c r="HZR1" s="110"/>
      <c r="HZS1" s="110"/>
      <c r="HZT1" s="110"/>
      <c r="HZU1" s="110"/>
      <c r="HZV1" s="110"/>
      <c r="HZW1" s="110"/>
      <c r="HZX1" s="110"/>
      <c r="HZY1" s="110"/>
      <c r="HZZ1" s="110"/>
      <c r="IAA1" s="110"/>
      <c r="IAB1" s="110"/>
      <c r="IAC1" s="110"/>
      <c r="IAD1" s="110"/>
      <c r="IAE1" s="110"/>
      <c r="IAF1" s="110"/>
      <c r="IAG1" s="110"/>
      <c r="IAH1" s="110"/>
      <c r="IAI1" s="110"/>
      <c r="IAJ1" s="110"/>
      <c r="IAK1" s="110"/>
      <c r="IAL1" s="110"/>
      <c r="IAM1" s="110"/>
      <c r="IAN1" s="110"/>
      <c r="IAO1" s="110"/>
      <c r="IAP1" s="110"/>
      <c r="IAQ1" s="110"/>
      <c r="IAR1" s="110"/>
      <c r="IAS1" s="110"/>
      <c r="IAT1" s="110"/>
      <c r="IAU1" s="110"/>
      <c r="IAV1" s="110"/>
      <c r="IAW1" s="110"/>
      <c r="IAX1" s="110"/>
      <c r="IAY1" s="110"/>
      <c r="IAZ1" s="110"/>
      <c r="IBA1" s="110"/>
      <c r="IBB1" s="110"/>
      <c r="IBC1" s="110"/>
      <c r="IBD1" s="110"/>
      <c r="IBE1" s="110"/>
      <c r="IBF1" s="110"/>
      <c r="IBG1" s="110"/>
      <c r="IBH1" s="110"/>
      <c r="IBI1" s="110"/>
      <c r="IBJ1" s="110"/>
      <c r="IBK1" s="110"/>
      <c r="IBL1" s="110"/>
      <c r="IBM1" s="110"/>
      <c r="IBN1" s="110"/>
      <c r="IBO1" s="110"/>
      <c r="IBP1" s="110"/>
      <c r="IBQ1" s="110"/>
      <c r="IBR1" s="110"/>
      <c r="IBS1" s="110"/>
      <c r="IBT1" s="110"/>
      <c r="IBU1" s="110"/>
      <c r="IBV1" s="110"/>
      <c r="IBW1" s="110"/>
      <c r="IBX1" s="110"/>
      <c r="IBY1" s="110"/>
      <c r="IBZ1" s="110"/>
      <c r="ICA1" s="110"/>
      <c r="ICB1" s="110"/>
      <c r="ICC1" s="110"/>
      <c r="ICD1" s="110"/>
      <c r="ICE1" s="110"/>
      <c r="ICF1" s="110"/>
      <c r="ICG1" s="110"/>
      <c r="ICH1" s="110"/>
      <c r="ICI1" s="110"/>
      <c r="ICJ1" s="110"/>
      <c r="ICK1" s="110"/>
      <c r="ICL1" s="110"/>
      <c r="ICM1" s="110"/>
      <c r="ICN1" s="110"/>
      <c r="ICO1" s="110"/>
      <c r="ICP1" s="110"/>
      <c r="ICQ1" s="110"/>
      <c r="ICR1" s="110"/>
      <c r="ICS1" s="110"/>
      <c r="ICT1" s="110"/>
      <c r="ICU1" s="110"/>
      <c r="ICV1" s="110"/>
      <c r="ICW1" s="110"/>
      <c r="ICX1" s="110"/>
      <c r="ICY1" s="110"/>
      <c r="ICZ1" s="110"/>
      <c r="IDA1" s="110"/>
      <c r="IDB1" s="110"/>
      <c r="IDC1" s="110"/>
      <c r="IDD1" s="110"/>
      <c r="IDE1" s="110"/>
      <c r="IDF1" s="110"/>
      <c r="IDG1" s="110"/>
      <c r="IDH1" s="110"/>
      <c r="IDI1" s="110"/>
      <c r="IDJ1" s="110"/>
      <c r="IDK1" s="110"/>
      <c r="IDL1" s="110"/>
      <c r="IDM1" s="110"/>
      <c r="IDN1" s="110"/>
      <c r="IDO1" s="110"/>
      <c r="IDP1" s="110"/>
      <c r="IDQ1" s="110"/>
      <c r="IDR1" s="110"/>
      <c r="IDS1" s="110"/>
      <c r="IDT1" s="110"/>
      <c r="IDU1" s="110"/>
      <c r="IDV1" s="110"/>
      <c r="IDW1" s="110"/>
      <c r="IDX1" s="110"/>
      <c r="IDY1" s="110"/>
      <c r="IDZ1" s="110"/>
      <c r="IEA1" s="110"/>
      <c r="IEB1" s="110"/>
      <c r="IEC1" s="110"/>
      <c r="IED1" s="110"/>
      <c r="IEE1" s="110"/>
      <c r="IEF1" s="110"/>
      <c r="IEG1" s="110"/>
      <c r="IEH1" s="110"/>
      <c r="IEI1" s="110"/>
      <c r="IEJ1" s="110"/>
      <c r="IEK1" s="110"/>
      <c r="IEL1" s="110"/>
      <c r="IEM1" s="110"/>
      <c r="IEN1" s="110"/>
      <c r="IEO1" s="110"/>
      <c r="IEP1" s="110"/>
      <c r="IEQ1" s="110"/>
      <c r="IER1" s="110"/>
      <c r="IES1" s="110"/>
      <c r="IET1" s="110"/>
      <c r="IEU1" s="110"/>
      <c r="IEV1" s="110"/>
      <c r="IEW1" s="110"/>
      <c r="IEX1" s="110"/>
      <c r="IEY1" s="110"/>
      <c r="IEZ1" s="110"/>
      <c r="IFA1" s="110"/>
      <c r="IFB1" s="110"/>
      <c r="IFC1" s="110"/>
      <c r="IFD1" s="110"/>
      <c r="IFE1" s="110"/>
      <c r="IFF1" s="110"/>
      <c r="IFG1" s="110"/>
      <c r="IFH1" s="110"/>
      <c r="IFI1" s="110"/>
      <c r="IFJ1" s="110"/>
      <c r="IFK1" s="110"/>
      <c r="IFL1" s="110"/>
      <c r="IFM1" s="110"/>
      <c r="IFN1" s="110"/>
      <c r="IFO1" s="110"/>
      <c r="IFP1" s="110"/>
      <c r="IFQ1" s="110"/>
      <c r="IFR1" s="110"/>
      <c r="IFS1" s="110"/>
      <c r="IFT1" s="110"/>
      <c r="IFU1" s="110"/>
      <c r="IFV1" s="110"/>
      <c r="IFW1" s="110"/>
      <c r="IFX1" s="110"/>
      <c r="IFY1" s="110"/>
      <c r="IFZ1" s="110"/>
      <c r="IGA1" s="110"/>
      <c r="IGB1" s="110"/>
      <c r="IGC1" s="110"/>
      <c r="IGD1" s="110"/>
      <c r="IGE1" s="110"/>
      <c r="IGF1" s="110"/>
      <c r="IGG1" s="110"/>
      <c r="IGH1" s="110"/>
      <c r="IGI1" s="110"/>
      <c r="IGJ1" s="110"/>
      <c r="IGK1" s="110"/>
      <c r="IGL1" s="110"/>
      <c r="IGM1" s="110"/>
      <c r="IGN1" s="110"/>
      <c r="IGO1" s="110"/>
      <c r="IGP1" s="110"/>
      <c r="IGQ1" s="110"/>
      <c r="IGR1" s="110"/>
      <c r="IGS1" s="110"/>
      <c r="IGT1" s="110"/>
      <c r="IGU1" s="110"/>
      <c r="IGV1" s="110"/>
      <c r="IGW1" s="110"/>
      <c r="IGX1" s="110"/>
      <c r="IGY1" s="110"/>
      <c r="IGZ1" s="110"/>
      <c r="IHA1" s="110"/>
      <c r="IHB1" s="110"/>
      <c r="IHC1" s="110"/>
      <c r="IHD1" s="110"/>
      <c r="IHE1" s="110"/>
      <c r="IHF1" s="110"/>
      <c r="IHG1" s="110"/>
      <c r="IHH1" s="110"/>
      <c r="IHI1" s="110"/>
      <c r="IHJ1" s="110"/>
      <c r="IHK1" s="110"/>
      <c r="IHL1" s="110"/>
      <c r="IHM1" s="110"/>
      <c r="IHN1" s="110"/>
      <c r="IHO1" s="110"/>
      <c r="IHP1" s="110"/>
      <c r="IHQ1" s="110"/>
      <c r="IHR1" s="110"/>
      <c r="IHS1" s="110"/>
      <c r="IHT1" s="110"/>
      <c r="IHU1" s="110"/>
      <c r="IHV1" s="110"/>
      <c r="IHW1" s="110"/>
      <c r="IHX1" s="110"/>
      <c r="IHY1" s="110"/>
      <c r="IHZ1" s="110"/>
      <c r="IIA1" s="110"/>
      <c r="IIB1" s="110"/>
      <c r="IIC1" s="110"/>
      <c r="IID1" s="110"/>
      <c r="IIE1" s="110"/>
      <c r="IIF1" s="110"/>
      <c r="IIG1" s="110"/>
      <c r="IIH1" s="110"/>
      <c r="III1" s="110"/>
      <c r="IIJ1" s="110"/>
      <c r="IIK1" s="110"/>
      <c r="IIL1" s="110"/>
      <c r="IIM1" s="110"/>
      <c r="IIN1" s="110"/>
      <c r="IIO1" s="110"/>
      <c r="IIP1" s="110"/>
      <c r="IIQ1" s="110"/>
      <c r="IIR1" s="110"/>
      <c r="IIS1" s="110"/>
      <c r="IIT1" s="110"/>
      <c r="IIU1" s="110"/>
      <c r="IIV1" s="110"/>
      <c r="IIW1" s="110"/>
      <c r="IIX1" s="110"/>
      <c r="IIY1" s="110"/>
      <c r="IIZ1" s="110"/>
      <c r="IJA1" s="110"/>
      <c r="IJB1" s="110"/>
      <c r="IJC1" s="110"/>
      <c r="IJD1" s="110"/>
      <c r="IJE1" s="110"/>
      <c r="IJF1" s="110"/>
      <c r="IJG1" s="110"/>
      <c r="IJH1" s="110"/>
      <c r="IJI1" s="110"/>
      <c r="IJJ1" s="110"/>
      <c r="IJK1" s="110"/>
      <c r="IJL1" s="110"/>
      <c r="IJM1" s="110"/>
      <c r="IJN1" s="110"/>
      <c r="IJO1" s="110"/>
      <c r="IJP1" s="110"/>
      <c r="IJQ1" s="110"/>
      <c r="IJR1" s="110"/>
      <c r="IJS1" s="110"/>
      <c r="IJT1" s="110"/>
      <c r="IJU1" s="110"/>
      <c r="IJV1" s="110"/>
      <c r="IJW1" s="110"/>
      <c r="IJX1" s="110"/>
      <c r="IJY1" s="110"/>
      <c r="IJZ1" s="110"/>
      <c r="IKA1" s="110"/>
      <c r="IKB1" s="110"/>
      <c r="IKC1" s="110"/>
      <c r="IKD1" s="110"/>
      <c r="IKE1" s="110"/>
      <c r="IKF1" s="110"/>
      <c r="IKG1" s="110"/>
      <c r="IKH1" s="110"/>
      <c r="IKI1" s="110"/>
      <c r="IKJ1" s="110"/>
      <c r="IKK1" s="110"/>
      <c r="IKL1" s="110"/>
      <c r="IKM1" s="110"/>
      <c r="IKN1" s="110"/>
      <c r="IKO1" s="110"/>
      <c r="IKP1" s="110"/>
      <c r="IKQ1" s="110"/>
      <c r="IKR1" s="110"/>
      <c r="IKS1" s="110"/>
      <c r="IKT1" s="110"/>
      <c r="IKU1" s="110"/>
      <c r="IKV1" s="110"/>
      <c r="IKW1" s="110"/>
      <c r="IKX1" s="110"/>
      <c r="IKY1" s="110"/>
      <c r="IKZ1" s="110"/>
      <c r="ILA1" s="110"/>
      <c r="ILB1" s="110"/>
      <c r="ILC1" s="110"/>
      <c r="ILD1" s="110"/>
      <c r="ILE1" s="110"/>
      <c r="ILF1" s="110"/>
      <c r="ILG1" s="110"/>
      <c r="ILH1" s="110"/>
      <c r="ILI1" s="110"/>
      <c r="ILJ1" s="110"/>
      <c r="ILK1" s="110"/>
      <c r="ILL1" s="110"/>
      <c r="ILM1" s="110"/>
      <c r="ILN1" s="110"/>
      <c r="ILO1" s="110"/>
      <c r="ILP1" s="110"/>
      <c r="ILQ1" s="110"/>
      <c r="ILR1" s="110"/>
      <c r="ILS1" s="110"/>
      <c r="ILT1" s="110"/>
      <c r="ILU1" s="110"/>
      <c r="ILV1" s="110"/>
      <c r="ILW1" s="110"/>
      <c r="ILX1" s="110"/>
      <c r="ILY1" s="110"/>
      <c r="ILZ1" s="110"/>
      <c r="IMA1" s="110"/>
      <c r="IMB1" s="110"/>
      <c r="IMC1" s="110"/>
      <c r="IMD1" s="110"/>
      <c r="IME1" s="110"/>
      <c r="IMF1" s="110"/>
      <c r="IMG1" s="110"/>
      <c r="IMH1" s="110"/>
      <c r="IMI1" s="110"/>
      <c r="IMJ1" s="110"/>
      <c r="IMK1" s="110"/>
      <c r="IML1" s="110"/>
      <c r="IMM1" s="110"/>
      <c r="IMN1" s="110"/>
      <c r="IMO1" s="110"/>
      <c r="IMP1" s="110"/>
      <c r="IMQ1" s="110"/>
      <c r="IMR1" s="110"/>
      <c r="IMS1" s="110"/>
      <c r="IMT1" s="110"/>
      <c r="IMU1" s="110"/>
      <c r="IMV1" s="110"/>
      <c r="IMW1" s="110"/>
      <c r="IMX1" s="110"/>
      <c r="IMY1" s="110"/>
      <c r="IMZ1" s="110"/>
      <c r="INA1" s="110"/>
      <c r="INB1" s="110"/>
      <c r="INC1" s="110"/>
      <c r="IND1" s="110"/>
      <c r="INE1" s="110"/>
      <c r="INF1" s="110"/>
      <c r="ING1" s="110"/>
      <c r="INH1" s="110"/>
      <c r="INI1" s="110"/>
      <c r="INJ1" s="110"/>
      <c r="INK1" s="110"/>
      <c r="INL1" s="110"/>
      <c r="INM1" s="110"/>
      <c r="INN1" s="110"/>
      <c r="INO1" s="110"/>
      <c r="INP1" s="110"/>
      <c r="INQ1" s="110"/>
      <c r="INR1" s="110"/>
      <c r="INS1" s="110"/>
      <c r="INT1" s="110"/>
      <c r="INU1" s="110"/>
      <c r="INV1" s="110"/>
      <c r="INW1" s="110"/>
      <c r="INX1" s="110"/>
      <c r="INY1" s="110"/>
      <c r="INZ1" s="110"/>
      <c r="IOA1" s="110"/>
      <c r="IOB1" s="110"/>
      <c r="IOC1" s="110"/>
      <c r="IOD1" s="110"/>
      <c r="IOE1" s="110"/>
      <c r="IOF1" s="110"/>
      <c r="IOG1" s="110"/>
      <c r="IOH1" s="110"/>
      <c r="IOI1" s="110"/>
      <c r="IOJ1" s="110"/>
      <c r="IOK1" s="110"/>
      <c r="IOL1" s="110"/>
      <c r="IOM1" s="110"/>
      <c r="ION1" s="110"/>
      <c r="IOO1" s="110"/>
      <c r="IOP1" s="110"/>
      <c r="IOQ1" s="110"/>
      <c r="IOR1" s="110"/>
      <c r="IOS1" s="110"/>
      <c r="IOT1" s="110"/>
      <c r="IOU1" s="110"/>
      <c r="IOV1" s="110"/>
      <c r="IOW1" s="110"/>
      <c r="IOX1" s="110"/>
      <c r="IOY1" s="110"/>
      <c r="IOZ1" s="110"/>
      <c r="IPA1" s="110"/>
      <c r="IPB1" s="110"/>
      <c r="IPC1" s="110"/>
      <c r="IPD1" s="110"/>
      <c r="IPE1" s="110"/>
      <c r="IPF1" s="110"/>
      <c r="IPG1" s="110"/>
      <c r="IPH1" s="110"/>
      <c r="IPI1" s="110"/>
      <c r="IPJ1" s="110"/>
      <c r="IPK1" s="110"/>
      <c r="IPL1" s="110"/>
      <c r="IPM1" s="110"/>
      <c r="IPN1" s="110"/>
      <c r="IPO1" s="110"/>
      <c r="IPP1" s="110"/>
      <c r="IPQ1" s="110"/>
      <c r="IPR1" s="110"/>
      <c r="IPS1" s="110"/>
      <c r="IPT1" s="110"/>
      <c r="IPU1" s="110"/>
      <c r="IPV1" s="110"/>
      <c r="IPW1" s="110"/>
      <c r="IPX1" s="110"/>
      <c r="IPY1" s="110"/>
      <c r="IPZ1" s="110"/>
      <c r="IQA1" s="110"/>
      <c r="IQB1" s="110"/>
      <c r="IQC1" s="110"/>
      <c r="IQD1" s="110"/>
      <c r="IQE1" s="110"/>
      <c r="IQF1" s="110"/>
      <c r="IQG1" s="110"/>
      <c r="IQH1" s="110"/>
      <c r="IQI1" s="110"/>
      <c r="IQJ1" s="110"/>
      <c r="IQK1" s="110"/>
      <c r="IQL1" s="110"/>
      <c r="IQM1" s="110"/>
      <c r="IQN1" s="110"/>
      <c r="IQO1" s="110"/>
      <c r="IQP1" s="110"/>
      <c r="IQQ1" s="110"/>
      <c r="IQR1" s="110"/>
      <c r="IQS1" s="110"/>
      <c r="IQT1" s="110"/>
      <c r="IQU1" s="110"/>
      <c r="IQV1" s="110"/>
      <c r="IQW1" s="110"/>
      <c r="IQX1" s="110"/>
      <c r="IQY1" s="110"/>
      <c r="IQZ1" s="110"/>
      <c r="IRA1" s="110"/>
      <c r="IRB1" s="110"/>
      <c r="IRC1" s="110"/>
      <c r="IRD1" s="110"/>
      <c r="IRE1" s="110"/>
      <c r="IRF1" s="110"/>
      <c r="IRG1" s="110"/>
      <c r="IRH1" s="110"/>
      <c r="IRI1" s="110"/>
      <c r="IRJ1" s="110"/>
      <c r="IRK1" s="110"/>
      <c r="IRL1" s="110"/>
      <c r="IRM1" s="110"/>
      <c r="IRN1" s="110"/>
      <c r="IRO1" s="110"/>
      <c r="IRP1" s="110"/>
      <c r="IRQ1" s="110"/>
      <c r="IRR1" s="110"/>
      <c r="IRS1" s="110"/>
      <c r="IRT1" s="110"/>
      <c r="IRU1" s="110"/>
      <c r="IRV1" s="110"/>
      <c r="IRW1" s="110"/>
      <c r="IRX1" s="110"/>
      <c r="IRY1" s="110"/>
      <c r="IRZ1" s="110"/>
      <c r="ISA1" s="110"/>
      <c r="ISB1" s="110"/>
      <c r="ISC1" s="110"/>
      <c r="ISD1" s="110"/>
      <c r="ISE1" s="110"/>
      <c r="ISF1" s="110"/>
      <c r="ISG1" s="110"/>
      <c r="ISH1" s="110"/>
      <c r="ISI1" s="110"/>
      <c r="ISJ1" s="110"/>
      <c r="ISK1" s="110"/>
      <c r="ISL1" s="110"/>
      <c r="ISM1" s="110"/>
      <c r="ISN1" s="110"/>
      <c r="ISO1" s="110"/>
      <c r="ISP1" s="110"/>
      <c r="ISQ1" s="110"/>
      <c r="ISR1" s="110"/>
      <c r="ISS1" s="110"/>
      <c r="IST1" s="110"/>
      <c r="ISU1" s="110"/>
      <c r="ISV1" s="110"/>
      <c r="ISW1" s="110"/>
      <c r="ISX1" s="110"/>
      <c r="ISY1" s="110"/>
      <c r="ISZ1" s="110"/>
      <c r="ITA1" s="110"/>
      <c r="ITB1" s="110"/>
      <c r="ITC1" s="110"/>
      <c r="ITD1" s="110"/>
      <c r="ITE1" s="110"/>
      <c r="ITF1" s="110"/>
      <c r="ITG1" s="110"/>
      <c r="ITH1" s="110"/>
      <c r="ITI1" s="110"/>
      <c r="ITJ1" s="110"/>
      <c r="ITK1" s="110"/>
      <c r="ITL1" s="110"/>
      <c r="ITM1" s="110"/>
      <c r="ITN1" s="110"/>
      <c r="ITO1" s="110"/>
      <c r="ITP1" s="110"/>
      <c r="ITQ1" s="110"/>
      <c r="ITR1" s="110"/>
      <c r="ITS1" s="110"/>
      <c r="ITT1" s="110"/>
      <c r="ITU1" s="110"/>
      <c r="ITV1" s="110"/>
      <c r="ITW1" s="110"/>
      <c r="ITX1" s="110"/>
      <c r="ITY1" s="110"/>
      <c r="ITZ1" s="110"/>
      <c r="IUA1" s="110"/>
      <c r="IUB1" s="110"/>
      <c r="IUC1" s="110"/>
      <c r="IUD1" s="110"/>
      <c r="IUE1" s="110"/>
      <c r="IUF1" s="110"/>
      <c r="IUG1" s="110"/>
      <c r="IUH1" s="110"/>
      <c r="IUI1" s="110"/>
      <c r="IUJ1" s="110"/>
      <c r="IUK1" s="110"/>
      <c r="IUL1" s="110"/>
      <c r="IUM1" s="110"/>
      <c r="IUN1" s="110"/>
      <c r="IUO1" s="110"/>
      <c r="IUP1" s="110"/>
      <c r="IUQ1" s="110"/>
      <c r="IUR1" s="110"/>
      <c r="IUS1" s="110"/>
      <c r="IUT1" s="110"/>
      <c r="IUU1" s="110"/>
      <c r="IUV1" s="110"/>
      <c r="IUW1" s="110"/>
      <c r="IUX1" s="110"/>
      <c r="IUY1" s="110"/>
      <c r="IUZ1" s="110"/>
      <c r="IVA1" s="110"/>
      <c r="IVB1" s="110"/>
      <c r="IVC1" s="110"/>
      <c r="IVD1" s="110"/>
      <c r="IVE1" s="110"/>
      <c r="IVF1" s="110"/>
      <c r="IVG1" s="110"/>
      <c r="IVH1" s="110"/>
      <c r="IVI1" s="110"/>
      <c r="IVJ1" s="110"/>
      <c r="IVK1" s="110"/>
      <c r="IVL1" s="110"/>
      <c r="IVM1" s="110"/>
      <c r="IVN1" s="110"/>
      <c r="IVO1" s="110"/>
      <c r="IVP1" s="110"/>
      <c r="IVQ1" s="110"/>
      <c r="IVR1" s="110"/>
      <c r="IVS1" s="110"/>
      <c r="IVT1" s="110"/>
      <c r="IVU1" s="110"/>
      <c r="IVV1" s="110"/>
      <c r="IVW1" s="110"/>
      <c r="IVX1" s="110"/>
      <c r="IVY1" s="110"/>
      <c r="IVZ1" s="110"/>
      <c r="IWA1" s="110"/>
      <c r="IWB1" s="110"/>
      <c r="IWC1" s="110"/>
      <c r="IWD1" s="110"/>
      <c r="IWE1" s="110"/>
      <c r="IWF1" s="110"/>
      <c r="IWG1" s="110"/>
      <c r="IWH1" s="110"/>
      <c r="IWI1" s="110"/>
      <c r="IWJ1" s="110"/>
      <c r="IWK1" s="110"/>
      <c r="IWL1" s="110"/>
      <c r="IWM1" s="110"/>
      <c r="IWN1" s="110"/>
      <c r="IWO1" s="110"/>
      <c r="IWP1" s="110"/>
      <c r="IWQ1" s="110"/>
      <c r="IWR1" s="110"/>
      <c r="IWS1" s="110"/>
      <c r="IWT1" s="110"/>
      <c r="IWU1" s="110"/>
      <c r="IWV1" s="110"/>
      <c r="IWW1" s="110"/>
      <c r="IWX1" s="110"/>
      <c r="IWY1" s="110"/>
      <c r="IWZ1" s="110"/>
      <c r="IXA1" s="110"/>
      <c r="IXB1" s="110"/>
      <c r="IXC1" s="110"/>
      <c r="IXD1" s="110"/>
      <c r="IXE1" s="110"/>
      <c r="IXF1" s="110"/>
      <c r="IXG1" s="110"/>
      <c r="IXH1" s="110"/>
      <c r="IXI1" s="110"/>
      <c r="IXJ1" s="110"/>
      <c r="IXK1" s="110"/>
      <c r="IXL1" s="110"/>
      <c r="IXM1" s="110"/>
      <c r="IXN1" s="110"/>
      <c r="IXO1" s="110"/>
      <c r="IXP1" s="110"/>
      <c r="IXQ1" s="110"/>
      <c r="IXR1" s="110"/>
      <c r="IXS1" s="110"/>
      <c r="IXT1" s="110"/>
      <c r="IXU1" s="110"/>
      <c r="IXV1" s="110"/>
      <c r="IXW1" s="110"/>
      <c r="IXX1" s="110"/>
      <c r="IXY1" s="110"/>
      <c r="IXZ1" s="110"/>
      <c r="IYA1" s="110"/>
      <c r="IYB1" s="110"/>
      <c r="IYC1" s="110"/>
      <c r="IYD1" s="110"/>
      <c r="IYE1" s="110"/>
      <c r="IYF1" s="110"/>
      <c r="IYG1" s="110"/>
      <c r="IYH1" s="110"/>
      <c r="IYI1" s="110"/>
      <c r="IYJ1" s="110"/>
      <c r="IYK1" s="110"/>
      <c r="IYL1" s="110"/>
      <c r="IYM1" s="110"/>
      <c r="IYN1" s="110"/>
      <c r="IYO1" s="110"/>
      <c r="IYP1" s="110"/>
      <c r="IYQ1" s="110"/>
      <c r="IYR1" s="110"/>
      <c r="IYS1" s="110"/>
      <c r="IYT1" s="110"/>
      <c r="IYU1" s="110"/>
      <c r="IYV1" s="110"/>
      <c r="IYW1" s="110"/>
      <c r="IYX1" s="110"/>
      <c r="IYY1" s="110"/>
      <c r="IYZ1" s="110"/>
      <c r="IZA1" s="110"/>
      <c r="IZB1" s="110"/>
      <c r="IZC1" s="110"/>
      <c r="IZD1" s="110"/>
      <c r="IZE1" s="110"/>
      <c r="IZF1" s="110"/>
      <c r="IZG1" s="110"/>
      <c r="IZH1" s="110"/>
      <c r="IZI1" s="110"/>
      <c r="IZJ1" s="110"/>
      <c r="IZK1" s="110"/>
      <c r="IZL1" s="110"/>
      <c r="IZM1" s="110"/>
      <c r="IZN1" s="110"/>
      <c r="IZO1" s="110"/>
      <c r="IZP1" s="110"/>
      <c r="IZQ1" s="110"/>
      <c r="IZR1" s="110"/>
      <c r="IZS1" s="110"/>
      <c r="IZT1" s="110"/>
      <c r="IZU1" s="110"/>
      <c r="IZV1" s="110"/>
      <c r="IZW1" s="110"/>
      <c r="IZX1" s="110"/>
      <c r="IZY1" s="110"/>
      <c r="IZZ1" s="110"/>
      <c r="JAA1" s="110"/>
      <c r="JAB1" s="110"/>
      <c r="JAC1" s="110"/>
      <c r="JAD1" s="110"/>
      <c r="JAE1" s="110"/>
      <c r="JAF1" s="110"/>
      <c r="JAG1" s="110"/>
      <c r="JAH1" s="110"/>
      <c r="JAI1" s="110"/>
      <c r="JAJ1" s="110"/>
      <c r="JAK1" s="110"/>
      <c r="JAL1" s="110"/>
      <c r="JAM1" s="110"/>
      <c r="JAN1" s="110"/>
      <c r="JAO1" s="110"/>
      <c r="JAP1" s="110"/>
      <c r="JAQ1" s="110"/>
      <c r="JAR1" s="110"/>
      <c r="JAS1" s="110"/>
      <c r="JAT1" s="110"/>
      <c r="JAU1" s="110"/>
      <c r="JAV1" s="110"/>
      <c r="JAW1" s="110"/>
      <c r="JAX1" s="110"/>
      <c r="JAY1" s="110"/>
      <c r="JAZ1" s="110"/>
      <c r="JBA1" s="110"/>
      <c r="JBB1" s="110"/>
      <c r="JBC1" s="110"/>
      <c r="JBD1" s="110"/>
      <c r="JBE1" s="110"/>
      <c r="JBF1" s="110"/>
      <c r="JBG1" s="110"/>
      <c r="JBH1" s="110"/>
      <c r="JBI1" s="110"/>
      <c r="JBJ1" s="110"/>
      <c r="JBK1" s="110"/>
      <c r="JBL1" s="110"/>
      <c r="JBM1" s="110"/>
      <c r="JBN1" s="110"/>
      <c r="JBO1" s="110"/>
      <c r="JBP1" s="110"/>
      <c r="JBQ1" s="110"/>
      <c r="JBR1" s="110"/>
      <c r="JBS1" s="110"/>
      <c r="JBT1" s="110"/>
      <c r="JBU1" s="110"/>
      <c r="JBV1" s="110"/>
      <c r="JBW1" s="110"/>
      <c r="JBX1" s="110"/>
      <c r="JBY1" s="110"/>
      <c r="JBZ1" s="110"/>
      <c r="JCA1" s="110"/>
      <c r="JCB1" s="110"/>
      <c r="JCC1" s="110"/>
      <c r="JCD1" s="110"/>
      <c r="JCE1" s="110"/>
      <c r="JCF1" s="110"/>
      <c r="JCG1" s="110"/>
      <c r="JCH1" s="110"/>
      <c r="JCI1" s="110"/>
      <c r="JCJ1" s="110"/>
      <c r="JCK1" s="110"/>
      <c r="JCL1" s="110"/>
      <c r="JCM1" s="110"/>
      <c r="JCN1" s="110"/>
      <c r="JCO1" s="110"/>
      <c r="JCP1" s="110"/>
      <c r="JCQ1" s="110"/>
      <c r="JCR1" s="110"/>
      <c r="JCS1" s="110"/>
      <c r="JCT1" s="110"/>
      <c r="JCU1" s="110"/>
      <c r="JCV1" s="110"/>
      <c r="JCW1" s="110"/>
      <c r="JCX1" s="110"/>
      <c r="JCY1" s="110"/>
      <c r="JCZ1" s="110"/>
      <c r="JDA1" s="110"/>
      <c r="JDB1" s="110"/>
      <c r="JDC1" s="110"/>
      <c r="JDD1" s="110"/>
      <c r="JDE1" s="110"/>
      <c r="JDF1" s="110"/>
      <c r="JDG1" s="110"/>
      <c r="JDH1" s="110"/>
      <c r="JDI1" s="110"/>
      <c r="JDJ1" s="110"/>
      <c r="JDK1" s="110"/>
      <c r="JDL1" s="110"/>
      <c r="JDM1" s="110"/>
      <c r="JDN1" s="110"/>
      <c r="JDO1" s="110"/>
      <c r="JDP1" s="110"/>
      <c r="JDQ1" s="110"/>
      <c r="JDR1" s="110"/>
      <c r="JDS1" s="110"/>
      <c r="JDT1" s="110"/>
      <c r="JDU1" s="110"/>
      <c r="JDV1" s="110"/>
      <c r="JDW1" s="110"/>
      <c r="JDX1" s="110"/>
      <c r="JDY1" s="110"/>
      <c r="JDZ1" s="110"/>
      <c r="JEA1" s="110"/>
      <c r="JEB1" s="110"/>
      <c r="JEC1" s="110"/>
      <c r="JED1" s="110"/>
      <c r="JEE1" s="110"/>
      <c r="JEF1" s="110"/>
      <c r="JEG1" s="110"/>
      <c r="JEH1" s="110"/>
      <c r="JEI1" s="110"/>
      <c r="JEJ1" s="110"/>
      <c r="JEK1" s="110"/>
      <c r="JEL1" s="110"/>
      <c r="JEM1" s="110"/>
      <c r="JEN1" s="110"/>
      <c r="JEO1" s="110"/>
      <c r="JEP1" s="110"/>
      <c r="JEQ1" s="110"/>
      <c r="JER1" s="110"/>
      <c r="JES1" s="110"/>
      <c r="JET1" s="110"/>
      <c r="JEU1" s="110"/>
      <c r="JEV1" s="110"/>
      <c r="JEW1" s="110"/>
      <c r="JEX1" s="110"/>
      <c r="JEY1" s="110"/>
      <c r="JEZ1" s="110"/>
      <c r="JFA1" s="110"/>
      <c r="JFB1" s="110"/>
      <c r="JFC1" s="110"/>
      <c r="JFD1" s="110"/>
      <c r="JFE1" s="110"/>
      <c r="JFF1" s="110"/>
      <c r="JFG1" s="110"/>
      <c r="JFH1" s="110"/>
      <c r="JFI1" s="110"/>
      <c r="JFJ1" s="110"/>
      <c r="JFK1" s="110"/>
      <c r="JFL1" s="110"/>
      <c r="JFM1" s="110"/>
      <c r="JFN1" s="110"/>
      <c r="JFO1" s="110"/>
      <c r="JFP1" s="110"/>
      <c r="JFQ1" s="110"/>
      <c r="JFR1" s="110"/>
      <c r="JFS1" s="110"/>
      <c r="JFT1" s="110"/>
      <c r="JFU1" s="110"/>
      <c r="JFV1" s="110"/>
      <c r="JFW1" s="110"/>
      <c r="JFX1" s="110"/>
      <c r="JFY1" s="110"/>
      <c r="JFZ1" s="110"/>
      <c r="JGA1" s="110"/>
      <c r="JGB1" s="110"/>
      <c r="JGC1" s="110"/>
      <c r="JGD1" s="110"/>
      <c r="JGE1" s="110"/>
      <c r="JGF1" s="110"/>
      <c r="JGG1" s="110"/>
      <c r="JGH1" s="110"/>
      <c r="JGI1" s="110"/>
      <c r="JGJ1" s="110"/>
      <c r="JGK1" s="110"/>
      <c r="JGL1" s="110"/>
      <c r="JGM1" s="110"/>
      <c r="JGN1" s="110"/>
      <c r="JGO1" s="110"/>
      <c r="JGP1" s="110"/>
      <c r="JGQ1" s="110"/>
      <c r="JGR1" s="110"/>
      <c r="JGS1" s="110"/>
      <c r="JGT1" s="110"/>
      <c r="JGU1" s="110"/>
      <c r="JGV1" s="110"/>
      <c r="JGW1" s="110"/>
      <c r="JGX1" s="110"/>
      <c r="JGY1" s="110"/>
      <c r="JGZ1" s="110"/>
      <c r="JHA1" s="110"/>
      <c r="JHB1" s="110"/>
      <c r="JHC1" s="110"/>
      <c r="JHD1" s="110"/>
      <c r="JHE1" s="110"/>
      <c r="JHF1" s="110"/>
      <c r="JHG1" s="110"/>
      <c r="JHH1" s="110"/>
      <c r="JHI1" s="110"/>
      <c r="JHJ1" s="110"/>
      <c r="JHK1" s="110"/>
      <c r="JHL1" s="110"/>
      <c r="JHM1" s="110"/>
      <c r="JHN1" s="110"/>
      <c r="JHO1" s="110"/>
      <c r="JHP1" s="110"/>
      <c r="JHQ1" s="110"/>
      <c r="JHR1" s="110"/>
      <c r="JHS1" s="110"/>
      <c r="JHT1" s="110"/>
      <c r="JHU1" s="110"/>
      <c r="JHV1" s="110"/>
      <c r="JHW1" s="110"/>
      <c r="JHX1" s="110"/>
      <c r="JHY1" s="110"/>
      <c r="JHZ1" s="110"/>
      <c r="JIA1" s="110"/>
      <c r="JIB1" s="110"/>
      <c r="JIC1" s="110"/>
      <c r="JID1" s="110"/>
      <c r="JIE1" s="110"/>
      <c r="JIF1" s="110"/>
      <c r="JIG1" s="110"/>
      <c r="JIH1" s="110"/>
      <c r="JII1" s="110"/>
      <c r="JIJ1" s="110"/>
      <c r="JIK1" s="110"/>
      <c r="JIL1" s="110"/>
      <c r="JIM1" s="110"/>
      <c r="JIN1" s="110"/>
      <c r="JIO1" s="110"/>
      <c r="JIP1" s="110"/>
      <c r="JIQ1" s="110"/>
      <c r="JIR1" s="110"/>
      <c r="JIS1" s="110"/>
      <c r="JIT1" s="110"/>
      <c r="JIU1" s="110"/>
      <c r="JIV1" s="110"/>
      <c r="JIW1" s="110"/>
      <c r="JIX1" s="110"/>
      <c r="JIY1" s="110"/>
      <c r="JIZ1" s="110"/>
      <c r="JJA1" s="110"/>
      <c r="JJB1" s="110"/>
      <c r="JJC1" s="110"/>
      <c r="JJD1" s="110"/>
      <c r="JJE1" s="110"/>
      <c r="JJF1" s="110"/>
      <c r="JJG1" s="110"/>
      <c r="JJH1" s="110"/>
      <c r="JJI1" s="110"/>
      <c r="JJJ1" s="110"/>
      <c r="JJK1" s="110"/>
      <c r="JJL1" s="110"/>
      <c r="JJM1" s="110"/>
      <c r="JJN1" s="110"/>
      <c r="JJO1" s="110"/>
      <c r="JJP1" s="110"/>
      <c r="JJQ1" s="110"/>
      <c r="JJR1" s="110"/>
      <c r="JJS1" s="110"/>
      <c r="JJT1" s="110"/>
      <c r="JJU1" s="110"/>
      <c r="JJV1" s="110"/>
      <c r="JJW1" s="110"/>
      <c r="JJX1" s="110"/>
      <c r="JJY1" s="110"/>
      <c r="JJZ1" s="110"/>
      <c r="JKA1" s="110"/>
      <c r="JKB1" s="110"/>
      <c r="JKC1" s="110"/>
      <c r="JKD1" s="110"/>
      <c r="JKE1" s="110"/>
      <c r="JKF1" s="110"/>
      <c r="JKG1" s="110"/>
      <c r="JKH1" s="110"/>
      <c r="JKI1" s="110"/>
      <c r="JKJ1" s="110"/>
      <c r="JKK1" s="110"/>
      <c r="JKL1" s="110"/>
      <c r="JKM1" s="110"/>
      <c r="JKN1" s="110"/>
      <c r="JKO1" s="110"/>
      <c r="JKP1" s="110"/>
      <c r="JKQ1" s="110"/>
      <c r="JKR1" s="110"/>
      <c r="JKS1" s="110"/>
      <c r="JKT1" s="110"/>
      <c r="JKU1" s="110"/>
      <c r="JKV1" s="110"/>
      <c r="JKW1" s="110"/>
      <c r="JKX1" s="110"/>
      <c r="JKY1" s="110"/>
      <c r="JKZ1" s="110"/>
      <c r="JLA1" s="110"/>
      <c r="JLB1" s="110"/>
      <c r="JLC1" s="110"/>
      <c r="JLD1" s="110"/>
      <c r="JLE1" s="110"/>
      <c r="JLF1" s="110"/>
      <c r="JLG1" s="110"/>
      <c r="JLH1" s="110"/>
      <c r="JLI1" s="110"/>
      <c r="JLJ1" s="110"/>
      <c r="JLK1" s="110"/>
      <c r="JLL1" s="110"/>
      <c r="JLM1" s="110"/>
      <c r="JLN1" s="110"/>
      <c r="JLO1" s="110"/>
      <c r="JLP1" s="110"/>
      <c r="JLQ1" s="110"/>
      <c r="JLR1" s="110"/>
      <c r="JLS1" s="110"/>
      <c r="JLT1" s="110"/>
      <c r="JLU1" s="110"/>
      <c r="JLV1" s="110"/>
      <c r="JLW1" s="110"/>
      <c r="JLX1" s="110"/>
      <c r="JLY1" s="110"/>
      <c r="JLZ1" s="110"/>
      <c r="JMA1" s="110"/>
      <c r="JMB1" s="110"/>
      <c r="JMC1" s="110"/>
      <c r="JMD1" s="110"/>
      <c r="JME1" s="110"/>
      <c r="JMF1" s="110"/>
      <c r="JMG1" s="110"/>
      <c r="JMH1" s="110"/>
      <c r="JMI1" s="110"/>
      <c r="JMJ1" s="110"/>
      <c r="JMK1" s="110"/>
      <c r="JML1" s="110"/>
      <c r="JMM1" s="110"/>
      <c r="JMN1" s="110"/>
      <c r="JMO1" s="110"/>
      <c r="JMP1" s="110"/>
      <c r="JMQ1" s="110"/>
      <c r="JMR1" s="110"/>
      <c r="JMS1" s="110"/>
      <c r="JMT1" s="110"/>
      <c r="JMU1" s="110"/>
      <c r="JMV1" s="110"/>
      <c r="JMW1" s="110"/>
      <c r="JMX1" s="110"/>
      <c r="JMY1" s="110"/>
      <c r="JMZ1" s="110"/>
      <c r="JNA1" s="110"/>
      <c r="JNB1" s="110"/>
      <c r="JNC1" s="110"/>
      <c r="JND1" s="110"/>
      <c r="JNE1" s="110"/>
      <c r="JNF1" s="110"/>
      <c r="JNG1" s="110"/>
      <c r="JNH1" s="110"/>
      <c r="JNI1" s="110"/>
      <c r="JNJ1" s="110"/>
      <c r="JNK1" s="110"/>
      <c r="JNL1" s="110"/>
      <c r="JNM1" s="110"/>
      <c r="JNN1" s="110"/>
      <c r="JNO1" s="110"/>
      <c r="JNP1" s="110"/>
      <c r="JNQ1" s="110"/>
      <c r="JNR1" s="110"/>
      <c r="JNS1" s="110"/>
      <c r="JNT1" s="110"/>
      <c r="JNU1" s="110"/>
      <c r="JNV1" s="110"/>
      <c r="JNW1" s="110"/>
      <c r="JNX1" s="110"/>
      <c r="JNY1" s="110"/>
      <c r="JNZ1" s="110"/>
      <c r="JOA1" s="110"/>
      <c r="JOB1" s="110"/>
      <c r="JOC1" s="110"/>
      <c r="JOD1" s="110"/>
      <c r="JOE1" s="110"/>
      <c r="JOF1" s="110"/>
      <c r="JOG1" s="110"/>
      <c r="JOH1" s="110"/>
      <c r="JOI1" s="110"/>
      <c r="JOJ1" s="110"/>
      <c r="JOK1" s="110"/>
      <c r="JOL1" s="110"/>
      <c r="JOM1" s="110"/>
      <c r="JON1" s="110"/>
      <c r="JOO1" s="110"/>
      <c r="JOP1" s="110"/>
      <c r="JOQ1" s="110"/>
      <c r="JOR1" s="110"/>
      <c r="JOS1" s="110"/>
      <c r="JOT1" s="110"/>
      <c r="JOU1" s="110"/>
      <c r="JOV1" s="110"/>
      <c r="JOW1" s="110"/>
      <c r="JOX1" s="110"/>
      <c r="JOY1" s="110"/>
      <c r="JOZ1" s="110"/>
      <c r="JPA1" s="110"/>
      <c r="JPB1" s="110"/>
      <c r="JPC1" s="110"/>
      <c r="JPD1" s="110"/>
      <c r="JPE1" s="110"/>
      <c r="JPF1" s="110"/>
      <c r="JPG1" s="110"/>
      <c r="JPH1" s="110"/>
      <c r="JPI1" s="110"/>
      <c r="JPJ1" s="110"/>
      <c r="JPK1" s="110"/>
      <c r="JPL1" s="110"/>
      <c r="JPM1" s="110"/>
      <c r="JPN1" s="110"/>
      <c r="JPO1" s="110"/>
      <c r="JPP1" s="110"/>
      <c r="JPQ1" s="110"/>
      <c r="JPR1" s="110"/>
      <c r="JPS1" s="110"/>
      <c r="JPT1" s="110"/>
      <c r="JPU1" s="110"/>
      <c r="JPV1" s="110"/>
      <c r="JPW1" s="110"/>
      <c r="JPX1" s="110"/>
      <c r="JPY1" s="110"/>
      <c r="JPZ1" s="110"/>
      <c r="JQA1" s="110"/>
      <c r="JQB1" s="110"/>
      <c r="JQC1" s="110"/>
      <c r="JQD1" s="110"/>
      <c r="JQE1" s="110"/>
      <c r="JQF1" s="110"/>
      <c r="JQG1" s="110"/>
      <c r="JQH1" s="110"/>
      <c r="JQI1" s="110"/>
      <c r="JQJ1" s="110"/>
      <c r="JQK1" s="110"/>
      <c r="JQL1" s="110"/>
      <c r="JQM1" s="110"/>
      <c r="JQN1" s="110"/>
      <c r="JQO1" s="110"/>
      <c r="JQP1" s="110"/>
      <c r="JQQ1" s="110"/>
      <c r="JQR1" s="110"/>
      <c r="JQS1" s="110"/>
      <c r="JQT1" s="110"/>
      <c r="JQU1" s="110"/>
      <c r="JQV1" s="110"/>
      <c r="JQW1" s="110"/>
      <c r="JQX1" s="110"/>
      <c r="JQY1" s="110"/>
      <c r="JQZ1" s="110"/>
      <c r="JRA1" s="110"/>
      <c r="JRB1" s="110"/>
      <c r="JRC1" s="110"/>
      <c r="JRD1" s="110"/>
      <c r="JRE1" s="110"/>
      <c r="JRF1" s="110"/>
      <c r="JRG1" s="110"/>
      <c r="JRH1" s="110"/>
      <c r="JRI1" s="110"/>
      <c r="JRJ1" s="110"/>
      <c r="JRK1" s="110"/>
      <c r="JRL1" s="110"/>
      <c r="JRM1" s="110"/>
      <c r="JRN1" s="110"/>
      <c r="JRO1" s="110"/>
      <c r="JRP1" s="110"/>
      <c r="JRQ1" s="110"/>
      <c r="JRR1" s="110"/>
      <c r="JRS1" s="110"/>
      <c r="JRT1" s="110"/>
      <c r="JRU1" s="110"/>
      <c r="JRV1" s="110"/>
      <c r="JRW1" s="110"/>
      <c r="JRX1" s="110"/>
      <c r="JRY1" s="110"/>
      <c r="JRZ1" s="110"/>
      <c r="JSA1" s="110"/>
      <c r="JSB1" s="110"/>
      <c r="JSC1" s="110"/>
      <c r="JSD1" s="110"/>
      <c r="JSE1" s="110"/>
      <c r="JSF1" s="110"/>
      <c r="JSG1" s="110"/>
      <c r="JSH1" s="110"/>
      <c r="JSI1" s="110"/>
      <c r="JSJ1" s="110"/>
      <c r="JSK1" s="110"/>
      <c r="JSL1" s="110"/>
      <c r="JSM1" s="110"/>
      <c r="JSN1" s="110"/>
      <c r="JSO1" s="110"/>
      <c r="JSP1" s="110"/>
      <c r="JSQ1" s="110"/>
      <c r="JSR1" s="110"/>
      <c r="JSS1" s="110"/>
      <c r="JST1" s="110"/>
      <c r="JSU1" s="110"/>
      <c r="JSV1" s="110"/>
      <c r="JSW1" s="110"/>
      <c r="JSX1" s="110"/>
      <c r="JSY1" s="110"/>
      <c r="JSZ1" s="110"/>
      <c r="JTA1" s="110"/>
      <c r="JTB1" s="110"/>
      <c r="JTC1" s="110"/>
      <c r="JTD1" s="110"/>
      <c r="JTE1" s="110"/>
      <c r="JTF1" s="110"/>
      <c r="JTG1" s="110"/>
      <c r="JTH1" s="110"/>
      <c r="JTI1" s="110"/>
      <c r="JTJ1" s="110"/>
      <c r="JTK1" s="110"/>
      <c r="JTL1" s="110"/>
      <c r="JTM1" s="110"/>
      <c r="JTN1" s="110"/>
      <c r="JTO1" s="110"/>
      <c r="JTP1" s="110"/>
      <c r="JTQ1" s="110"/>
      <c r="JTR1" s="110"/>
      <c r="JTS1" s="110"/>
      <c r="JTT1" s="110"/>
      <c r="JTU1" s="110"/>
      <c r="JTV1" s="110"/>
      <c r="JTW1" s="110"/>
      <c r="JTX1" s="110"/>
      <c r="JTY1" s="110"/>
      <c r="JTZ1" s="110"/>
      <c r="JUA1" s="110"/>
      <c r="JUB1" s="110"/>
      <c r="JUC1" s="110"/>
      <c r="JUD1" s="110"/>
      <c r="JUE1" s="110"/>
      <c r="JUF1" s="110"/>
      <c r="JUG1" s="110"/>
      <c r="JUH1" s="110"/>
      <c r="JUI1" s="110"/>
      <c r="JUJ1" s="110"/>
      <c r="JUK1" s="110"/>
      <c r="JUL1" s="110"/>
      <c r="JUM1" s="110"/>
      <c r="JUN1" s="110"/>
      <c r="JUO1" s="110"/>
      <c r="JUP1" s="110"/>
      <c r="JUQ1" s="110"/>
      <c r="JUR1" s="110"/>
      <c r="JUS1" s="110"/>
      <c r="JUT1" s="110"/>
      <c r="JUU1" s="110"/>
      <c r="JUV1" s="110"/>
      <c r="JUW1" s="110"/>
      <c r="JUX1" s="110"/>
      <c r="JUY1" s="110"/>
      <c r="JUZ1" s="110"/>
      <c r="JVA1" s="110"/>
      <c r="JVB1" s="110"/>
      <c r="JVC1" s="110"/>
      <c r="JVD1" s="110"/>
      <c r="JVE1" s="110"/>
      <c r="JVF1" s="110"/>
      <c r="JVG1" s="110"/>
      <c r="JVH1" s="110"/>
      <c r="JVI1" s="110"/>
      <c r="JVJ1" s="110"/>
      <c r="JVK1" s="110"/>
      <c r="JVL1" s="110"/>
      <c r="JVM1" s="110"/>
      <c r="JVN1" s="110"/>
      <c r="JVO1" s="110"/>
      <c r="JVP1" s="110"/>
      <c r="JVQ1" s="110"/>
      <c r="JVR1" s="110"/>
      <c r="JVS1" s="110"/>
      <c r="JVT1" s="110"/>
      <c r="JVU1" s="110"/>
      <c r="JVV1" s="110"/>
      <c r="JVW1" s="110"/>
      <c r="JVX1" s="110"/>
      <c r="JVY1" s="110"/>
      <c r="JVZ1" s="110"/>
      <c r="JWA1" s="110"/>
      <c r="JWB1" s="110"/>
      <c r="JWC1" s="110"/>
      <c r="JWD1" s="110"/>
      <c r="JWE1" s="110"/>
      <c r="JWF1" s="110"/>
      <c r="JWG1" s="110"/>
      <c r="JWH1" s="110"/>
      <c r="JWI1" s="110"/>
      <c r="JWJ1" s="110"/>
      <c r="JWK1" s="110"/>
      <c r="JWL1" s="110"/>
      <c r="JWM1" s="110"/>
      <c r="JWN1" s="110"/>
      <c r="JWO1" s="110"/>
      <c r="JWP1" s="110"/>
      <c r="JWQ1" s="110"/>
      <c r="JWR1" s="110"/>
      <c r="JWS1" s="110"/>
      <c r="JWT1" s="110"/>
      <c r="JWU1" s="110"/>
      <c r="JWV1" s="110"/>
      <c r="JWW1" s="110"/>
      <c r="JWX1" s="110"/>
      <c r="JWY1" s="110"/>
      <c r="JWZ1" s="110"/>
      <c r="JXA1" s="110"/>
      <c r="JXB1" s="110"/>
      <c r="JXC1" s="110"/>
      <c r="JXD1" s="110"/>
      <c r="JXE1" s="110"/>
      <c r="JXF1" s="110"/>
      <c r="JXG1" s="110"/>
      <c r="JXH1" s="110"/>
      <c r="JXI1" s="110"/>
      <c r="JXJ1" s="110"/>
      <c r="JXK1" s="110"/>
      <c r="JXL1" s="110"/>
      <c r="JXM1" s="110"/>
      <c r="JXN1" s="110"/>
      <c r="JXO1" s="110"/>
      <c r="JXP1" s="110"/>
      <c r="JXQ1" s="110"/>
      <c r="JXR1" s="110"/>
      <c r="JXS1" s="110"/>
      <c r="JXT1" s="110"/>
      <c r="JXU1" s="110"/>
      <c r="JXV1" s="110"/>
      <c r="JXW1" s="110"/>
      <c r="JXX1" s="110"/>
      <c r="JXY1" s="110"/>
      <c r="JXZ1" s="110"/>
      <c r="JYA1" s="110"/>
      <c r="JYB1" s="110"/>
      <c r="JYC1" s="110"/>
      <c r="JYD1" s="110"/>
      <c r="JYE1" s="110"/>
      <c r="JYF1" s="110"/>
      <c r="JYG1" s="110"/>
      <c r="JYH1" s="110"/>
      <c r="JYI1" s="110"/>
      <c r="JYJ1" s="110"/>
      <c r="JYK1" s="110"/>
      <c r="JYL1" s="110"/>
      <c r="JYM1" s="110"/>
      <c r="JYN1" s="110"/>
      <c r="JYO1" s="110"/>
      <c r="JYP1" s="110"/>
      <c r="JYQ1" s="110"/>
      <c r="JYR1" s="110"/>
      <c r="JYS1" s="110"/>
      <c r="JYT1" s="110"/>
      <c r="JYU1" s="110"/>
      <c r="JYV1" s="110"/>
      <c r="JYW1" s="110"/>
      <c r="JYX1" s="110"/>
      <c r="JYY1" s="110"/>
      <c r="JYZ1" s="110"/>
      <c r="JZA1" s="110"/>
      <c r="JZB1" s="110"/>
      <c r="JZC1" s="110"/>
      <c r="JZD1" s="110"/>
      <c r="JZE1" s="110"/>
      <c r="JZF1" s="110"/>
      <c r="JZG1" s="110"/>
      <c r="JZH1" s="110"/>
      <c r="JZI1" s="110"/>
      <c r="JZJ1" s="110"/>
      <c r="JZK1" s="110"/>
      <c r="JZL1" s="110"/>
      <c r="JZM1" s="110"/>
      <c r="JZN1" s="110"/>
      <c r="JZO1" s="110"/>
      <c r="JZP1" s="110"/>
      <c r="JZQ1" s="110"/>
      <c r="JZR1" s="110"/>
      <c r="JZS1" s="110"/>
      <c r="JZT1" s="110"/>
      <c r="JZU1" s="110"/>
      <c r="JZV1" s="110"/>
      <c r="JZW1" s="110"/>
      <c r="JZX1" s="110"/>
      <c r="JZY1" s="110"/>
      <c r="JZZ1" s="110"/>
      <c r="KAA1" s="110"/>
      <c r="KAB1" s="110"/>
      <c r="KAC1" s="110"/>
      <c r="KAD1" s="110"/>
      <c r="KAE1" s="110"/>
      <c r="KAF1" s="110"/>
      <c r="KAG1" s="110"/>
      <c r="KAH1" s="110"/>
      <c r="KAI1" s="110"/>
      <c r="KAJ1" s="110"/>
      <c r="KAK1" s="110"/>
      <c r="KAL1" s="110"/>
      <c r="KAM1" s="110"/>
      <c r="KAN1" s="110"/>
      <c r="KAO1" s="110"/>
      <c r="KAP1" s="110"/>
      <c r="KAQ1" s="110"/>
      <c r="KAR1" s="110"/>
      <c r="KAS1" s="110"/>
      <c r="KAT1" s="110"/>
      <c r="KAU1" s="110"/>
      <c r="KAV1" s="110"/>
      <c r="KAW1" s="110"/>
      <c r="KAX1" s="110"/>
      <c r="KAY1" s="110"/>
      <c r="KAZ1" s="110"/>
      <c r="KBA1" s="110"/>
      <c r="KBB1" s="110"/>
      <c r="KBC1" s="110"/>
      <c r="KBD1" s="110"/>
      <c r="KBE1" s="110"/>
      <c r="KBF1" s="110"/>
      <c r="KBG1" s="110"/>
      <c r="KBH1" s="110"/>
      <c r="KBI1" s="110"/>
      <c r="KBJ1" s="110"/>
      <c r="KBK1" s="110"/>
      <c r="KBL1" s="110"/>
      <c r="KBM1" s="110"/>
      <c r="KBN1" s="110"/>
      <c r="KBO1" s="110"/>
      <c r="KBP1" s="110"/>
      <c r="KBQ1" s="110"/>
      <c r="KBR1" s="110"/>
      <c r="KBS1" s="110"/>
      <c r="KBT1" s="110"/>
      <c r="KBU1" s="110"/>
      <c r="KBV1" s="110"/>
      <c r="KBW1" s="110"/>
      <c r="KBX1" s="110"/>
      <c r="KBY1" s="110"/>
      <c r="KBZ1" s="110"/>
      <c r="KCA1" s="110"/>
      <c r="KCB1" s="110"/>
      <c r="KCC1" s="110"/>
      <c r="KCD1" s="110"/>
      <c r="KCE1" s="110"/>
      <c r="KCF1" s="110"/>
      <c r="KCG1" s="110"/>
      <c r="KCH1" s="110"/>
      <c r="KCI1" s="110"/>
      <c r="KCJ1" s="110"/>
      <c r="KCK1" s="110"/>
      <c r="KCL1" s="110"/>
      <c r="KCM1" s="110"/>
      <c r="KCN1" s="110"/>
      <c r="KCO1" s="110"/>
      <c r="KCP1" s="110"/>
      <c r="KCQ1" s="110"/>
      <c r="KCR1" s="110"/>
      <c r="KCS1" s="110"/>
      <c r="KCT1" s="110"/>
      <c r="KCU1" s="110"/>
      <c r="KCV1" s="110"/>
      <c r="KCW1" s="110"/>
      <c r="KCX1" s="110"/>
      <c r="KCY1" s="110"/>
      <c r="KCZ1" s="110"/>
      <c r="KDA1" s="110"/>
      <c r="KDB1" s="110"/>
      <c r="KDC1" s="110"/>
      <c r="KDD1" s="110"/>
      <c r="KDE1" s="110"/>
      <c r="KDF1" s="110"/>
      <c r="KDG1" s="110"/>
      <c r="KDH1" s="110"/>
      <c r="KDI1" s="110"/>
      <c r="KDJ1" s="110"/>
      <c r="KDK1" s="110"/>
      <c r="KDL1" s="110"/>
      <c r="KDM1" s="110"/>
      <c r="KDN1" s="110"/>
      <c r="KDO1" s="110"/>
      <c r="KDP1" s="110"/>
      <c r="KDQ1" s="110"/>
      <c r="KDR1" s="110"/>
      <c r="KDS1" s="110"/>
      <c r="KDT1" s="110"/>
      <c r="KDU1" s="110"/>
      <c r="KDV1" s="110"/>
      <c r="KDW1" s="110"/>
      <c r="KDX1" s="110"/>
      <c r="KDY1" s="110"/>
      <c r="KDZ1" s="110"/>
      <c r="KEA1" s="110"/>
      <c r="KEB1" s="110"/>
      <c r="KEC1" s="110"/>
      <c r="KED1" s="110"/>
      <c r="KEE1" s="110"/>
      <c r="KEF1" s="110"/>
      <c r="KEG1" s="110"/>
      <c r="KEH1" s="110"/>
      <c r="KEI1" s="110"/>
      <c r="KEJ1" s="110"/>
      <c r="KEK1" s="110"/>
      <c r="KEL1" s="110"/>
      <c r="KEM1" s="110"/>
      <c r="KEN1" s="110"/>
      <c r="KEO1" s="110"/>
      <c r="KEP1" s="110"/>
      <c r="KEQ1" s="110"/>
      <c r="KER1" s="110"/>
      <c r="KES1" s="110"/>
      <c r="KET1" s="110"/>
      <c r="KEU1" s="110"/>
      <c r="KEV1" s="110"/>
      <c r="KEW1" s="110"/>
      <c r="KEX1" s="110"/>
      <c r="KEY1" s="110"/>
      <c r="KEZ1" s="110"/>
      <c r="KFA1" s="110"/>
      <c r="KFB1" s="110"/>
      <c r="KFC1" s="110"/>
      <c r="KFD1" s="110"/>
      <c r="KFE1" s="110"/>
      <c r="KFF1" s="110"/>
      <c r="KFG1" s="110"/>
      <c r="KFH1" s="110"/>
      <c r="KFI1" s="110"/>
      <c r="KFJ1" s="110"/>
      <c r="KFK1" s="110"/>
      <c r="KFL1" s="110"/>
      <c r="KFM1" s="110"/>
      <c r="KFN1" s="110"/>
      <c r="KFO1" s="110"/>
      <c r="KFP1" s="110"/>
      <c r="KFQ1" s="110"/>
      <c r="KFR1" s="110"/>
      <c r="KFS1" s="110"/>
      <c r="KFT1" s="110"/>
      <c r="KFU1" s="110"/>
      <c r="KFV1" s="110"/>
      <c r="KFW1" s="110"/>
      <c r="KFX1" s="110"/>
      <c r="KFY1" s="110"/>
      <c r="KFZ1" s="110"/>
      <c r="KGA1" s="110"/>
      <c r="KGB1" s="110"/>
      <c r="KGC1" s="110"/>
      <c r="KGD1" s="110"/>
      <c r="KGE1" s="110"/>
      <c r="KGF1" s="110"/>
      <c r="KGG1" s="110"/>
      <c r="KGH1" s="110"/>
      <c r="KGI1" s="110"/>
      <c r="KGJ1" s="110"/>
      <c r="KGK1" s="110"/>
      <c r="KGL1" s="110"/>
      <c r="KGM1" s="110"/>
      <c r="KGN1" s="110"/>
      <c r="KGO1" s="110"/>
      <c r="KGP1" s="110"/>
      <c r="KGQ1" s="110"/>
      <c r="KGR1" s="110"/>
      <c r="KGS1" s="110"/>
      <c r="KGT1" s="110"/>
      <c r="KGU1" s="110"/>
      <c r="KGV1" s="110"/>
      <c r="KGW1" s="110"/>
      <c r="KGX1" s="110"/>
      <c r="KGY1" s="110"/>
      <c r="KGZ1" s="110"/>
      <c r="KHA1" s="110"/>
      <c r="KHB1" s="110"/>
      <c r="KHC1" s="110"/>
      <c r="KHD1" s="110"/>
      <c r="KHE1" s="110"/>
      <c r="KHF1" s="110"/>
      <c r="KHG1" s="110"/>
      <c r="KHH1" s="110"/>
      <c r="KHI1" s="110"/>
      <c r="KHJ1" s="110"/>
      <c r="KHK1" s="110"/>
      <c r="KHL1" s="110"/>
      <c r="KHM1" s="110"/>
      <c r="KHN1" s="110"/>
      <c r="KHO1" s="110"/>
      <c r="KHP1" s="110"/>
      <c r="KHQ1" s="110"/>
      <c r="KHR1" s="110"/>
      <c r="KHS1" s="110"/>
      <c r="KHT1" s="110"/>
      <c r="KHU1" s="110"/>
      <c r="KHV1" s="110"/>
      <c r="KHW1" s="110"/>
      <c r="KHX1" s="110"/>
      <c r="KHY1" s="110"/>
      <c r="KHZ1" s="110"/>
      <c r="KIA1" s="110"/>
      <c r="KIB1" s="110"/>
      <c r="KIC1" s="110"/>
      <c r="KID1" s="110"/>
      <c r="KIE1" s="110"/>
      <c r="KIF1" s="110"/>
      <c r="KIG1" s="110"/>
      <c r="KIH1" s="110"/>
      <c r="KII1" s="110"/>
      <c r="KIJ1" s="110"/>
      <c r="KIK1" s="110"/>
      <c r="KIL1" s="110"/>
      <c r="KIM1" s="110"/>
      <c r="KIN1" s="110"/>
      <c r="KIO1" s="110"/>
      <c r="KIP1" s="110"/>
      <c r="KIQ1" s="110"/>
      <c r="KIR1" s="110"/>
      <c r="KIS1" s="110"/>
      <c r="KIT1" s="110"/>
      <c r="KIU1" s="110"/>
      <c r="KIV1" s="110"/>
      <c r="KIW1" s="110"/>
      <c r="KIX1" s="110"/>
      <c r="KIY1" s="110"/>
      <c r="KIZ1" s="110"/>
      <c r="KJA1" s="110"/>
      <c r="KJB1" s="110"/>
      <c r="KJC1" s="110"/>
      <c r="KJD1" s="110"/>
      <c r="KJE1" s="110"/>
      <c r="KJF1" s="110"/>
      <c r="KJG1" s="110"/>
      <c r="KJH1" s="110"/>
      <c r="KJI1" s="110"/>
      <c r="KJJ1" s="110"/>
      <c r="KJK1" s="110"/>
      <c r="KJL1" s="110"/>
      <c r="KJM1" s="110"/>
      <c r="KJN1" s="110"/>
      <c r="KJO1" s="110"/>
      <c r="KJP1" s="110"/>
      <c r="KJQ1" s="110"/>
      <c r="KJR1" s="110"/>
      <c r="KJS1" s="110"/>
      <c r="KJT1" s="110"/>
      <c r="KJU1" s="110"/>
      <c r="KJV1" s="110"/>
      <c r="KJW1" s="110"/>
      <c r="KJX1" s="110"/>
      <c r="KJY1" s="110"/>
      <c r="KJZ1" s="110"/>
      <c r="KKA1" s="110"/>
      <c r="KKB1" s="110"/>
      <c r="KKC1" s="110"/>
      <c r="KKD1" s="110"/>
      <c r="KKE1" s="110"/>
      <c r="KKF1" s="110"/>
      <c r="KKG1" s="110"/>
      <c r="KKH1" s="110"/>
      <c r="KKI1" s="110"/>
      <c r="KKJ1" s="110"/>
      <c r="KKK1" s="110"/>
      <c r="KKL1" s="110"/>
      <c r="KKM1" s="110"/>
      <c r="KKN1" s="110"/>
      <c r="KKO1" s="110"/>
      <c r="KKP1" s="110"/>
      <c r="KKQ1" s="110"/>
      <c r="KKR1" s="110"/>
      <c r="KKS1" s="110"/>
      <c r="KKT1" s="110"/>
      <c r="KKU1" s="110"/>
      <c r="KKV1" s="110"/>
      <c r="KKW1" s="110"/>
      <c r="KKX1" s="110"/>
      <c r="KKY1" s="110"/>
      <c r="KKZ1" s="110"/>
      <c r="KLA1" s="110"/>
      <c r="KLB1" s="110"/>
      <c r="KLC1" s="110"/>
      <c r="KLD1" s="110"/>
      <c r="KLE1" s="110"/>
      <c r="KLF1" s="110"/>
      <c r="KLG1" s="110"/>
      <c r="KLH1" s="110"/>
      <c r="KLI1" s="110"/>
      <c r="KLJ1" s="110"/>
      <c r="KLK1" s="110"/>
      <c r="KLL1" s="110"/>
      <c r="KLM1" s="110"/>
      <c r="KLN1" s="110"/>
      <c r="KLO1" s="110"/>
      <c r="KLP1" s="110"/>
      <c r="KLQ1" s="110"/>
      <c r="KLR1" s="110"/>
      <c r="KLS1" s="110"/>
      <c r="KLT1" s="110"/>
      <c r="KLU1" s="110"/>
      <c r="KLV1" s="110"/>
      <c r="KLW1" s="110"/>
      <c r="KLX1" s="110"/>
      <c r="KLY1" s="110"/>
      <c r="KLZ1" s="110"/>
      <c r="KMA1" s="110"/>
      <c r="KMB1" s="110"/>
      <c r="KMC1" s="110"/>
      <c r="KMD1" s="110"/>
      <c r="KME1" s="110"/>
      <c r="KMF1" s="110"/>
      <c r="KMG1" s="110"/>
      <c r="KMH1" s="110"/>
      <c r="KMI1" s="110"/>
      <c r="KMJ1" s="110"/>
      <c r="KMK1" s="110"/>
      <c r="KML1" s="110"/>
      <c r="KMM1" s="110"/>
      <c r="KMN1" s="110"/>
      <c r="KMO1" s="110"/>
      <c r="KMP1" s="110"/>
      <c r="KMQ1" s="110"/>
      <c r="KMR1" s="110"/>
      <c r="KMS1" s="110"/>
      <c r="KMT1" s="110"/>
      <c r="KMU1" s="110"/>
      <c r="KMV1" s="110"/>
      <c r="KMW1" s="110"/>
      <c r="KMX1" s="110"/>
      <c r="KMY1" s="110"/>
      <c r="KMZ1" s="110"/>
      <c r="KNA1" s="110"/>
      <c r="KNB1" s="110"/>
      <c r="KNC1" s="110"/>
      <c r="KND1" s="110"/>
      <c r="KNE1" s="110"/>
      <c r="KNF1" s="110"/>
      <c r="KNG1" s="110"/>
      <c r="KNH1" s="110"/>
      <c r="KNI1" s="110"/>
      <c r="KNJ1" s="110"/>
      <c r="KNK1" s="110"/>
      <c r="KNL1" s="110"/>
      <c r="KNM1" s="110"/>
      <c r="KNN1" s="110"/>
      <c r="KNO1" s="110"/>
      <c r="KNP1" s="110"/>
      <c r="KNQ1" s="110"/>
      <c r="KNR1" s="110"/>
      <c r="KNS1" s="110"/>
      <c r="KNT1" s="110"/>
      <c r="KNU1" s="110"/>
      <c r="KNV1" s="110"/>
      <c r="KNW1" s="110"/>
      <c r="KNX1" s="110"/>
      <c r="KNY1" s="110"/>
      <c r="KNZ1" s="110"/>
      <c r="KOA1" s="110"/>
      <c r="KOB1" s="110"/>
      <c r="KOC1" s="110"/>
      <c r="KOD1" s="110"/>
      <c r="KOE1" s="110"/>
      <c r="KOF1" s="110"/>
      <c r="KOG1" s="110"/>
      <c r="KOH1" s="110"/>
      <c r="KOI1" s="110"/>
      <c r="KOJ1" s="110"/>
      <c r="KOK1" s="110"/>
      <c r="KOL1" s="110"/>
      <c r="KOM1" s="110"/>
      <c r="KON1" s="110"/>
      <c r="KOO1" s="110"/>
      <c r="KOP1" s="110"/>
      <c r="KOQ1" s="110"/>
      <c r="KOR1" s="110"/>
      <c r="KOS1" s="110"/>
      <c r="KOT1" s="110"/>
      <c r="KOU1" s="110"/>
      <c r="KOV1" s="110"/>
      <c r="KOW1" s="110"/>
      <c r="KOX1" s="110"/>
      <c r="KOY1" s="110"/>
      <c r="KOZ1" s="110"/>
      <c r="KPA1" s="110"/>
      <c r="KPB1" s="110"/>
      <c r="KPC1" s="110"/>
      <c r="KPD1" s="110"/>
      <c r="KPE1" s="110"/>
      <c r="KPF1" s="110"/>
      <c r="KPG1" s="110"/>
      <c r="KPH1" s="110"/>
      <c r="KPI1" s="110"/>
      <c r="KPJ1" s="110"/>
      <c r="KPK1" s="110"/>
      <c r="KPL1" s="110"/>
      <c r="KPM1" s="110"/>
      <c r="KPN1" s="110"/>
      <c r="KPO1" s="110"/>
      <c r="KPP1" s="110"/>
      <c r="KPQ1" s="110"/>
      <c r="KPR1" s="110"/>
      <c r="KPS1" s="110"/>
      <c r="KPT1" s="110"/>
      <c r="KPU1" s="110"/>
      <c r="KPV1" s="110"/>
      <c r="KPW1" s="110"/>
      <c r="KPX1" s="110"/>
      <c r="KPY1" s="110"/>
      <c r="KPZ1" s="110"/>
      <c r="KQA1" s="110"/>
      <c r="KQB1" s="110"/>
      <c r="KQC1" s="110"/>
      <c r="KQD1" s="110"/>
      <c r="KQE1" s="110"/>
      <c r="KQF1" s="110"/>
      <c r="KQG1" s="110"/>
      <c r="KQH1" s="110"/>
      <c r="KQI1" s="110"/>
      <c r="KQJ1" s="110"/>
      <c r="KQK1" s="110"/>
      <c r="KQL1" s="110"/>
      <c r="KQM1" s="110"/>
      <c r="KQN1" s="110"/>
      <c r="KQO1" s="110"/>
      <c r="KQP1" s="110"/>
      <c r="KQQ1" s="110"/>
      <c r="KQR1" s="110"/>
      <c r="KQS1" s="110"/>
      <c r="KQT1" s="110"/>
      <c r="KQU1" s="110"/>
      <c r="KQV1" s="110"/>
      <c r="KQW1" s="110"/>
      <c r="KQX1" s="110"/>
      <c r="KQY1" s="110"/>
      <c r="KQZ1" s="110"/>
      <c r="KRA1" s="110"/>
      <c r="KRB1" s="110"/>
      <c r="KRC1" s="110"/>
      <c r="KRD1" s="110"/>
      <c r="KRE1" s="110"/>
      <c r="KRF1" s="110"/>
      <c r="KRG1" s="110"/>
      <c r="KRH1" s="110"/>
      <c r="KRI1" s="110"/>
      <c r="KRJ1" s="110"/>
      <c r="KRK1" s="110"/>
      <c r="KRL1" s="110"/>
      <c r="KRM1" s="110"/>
      <c r="KRN1" s="110"/>
      <c r="KRO1" s="110"/>
      <c r="KRP1" s="110"/>
      <c r="KRQ1" s="110"/>
      <c r="KRR1" s="110"/>
      <c r="KRS1" s="110"/>
      <c r="KRT1" s="110"/>
      <c r="KRU1" s="110"/>
      <c r="KRV1" s="110"/>
      <c r="KRW1" s="110"/>
      <c r="KRX1" s="110"/>
      <c r="KRY1" s="110"/>
      <c r="KRZ1" s="110"/>
      <c r="KSA1" s="110"/>
      <c r="KSB1" s="110"/>
      <c r="KSC1" s="110"/>
      <c r="KSD1" s="110"/>
      <c r="KSE1" s="110"/>
      <c r="KSF1" s="110"/>
      <c r="KSG1" s="110"/>
      <c r="KSH1" s="110"/>
      <c r="KSI1" s="110"/>
      <c r="KSJ1" s="110"/>
      <c r="KSK1" s="110"/>
      <c r="KSL1" s="110"/>
      <c r="KSM1" s="110"/>
      <c r="KSN1" s="110"/>
      <c r="KSO1" s="110"/>
      <c r="KSP1" s="110"/>
      <c r="KSQ1" s="110"/>
      <c r="KSR1" s="110"/>
      <c r="KSS1" s="110"/>
      <c r="KST1" s="110"/>
      <c r="KSU1" s="110"/>
      <c r="KSV1" s="110"/>
      <c r="KSW1" s="110"/>
      <c r="KSX1" s="110"/>
      <c r="KSY1" s="110"/>
      <c r="KSZ1" s="110"/>
      <c r="KTA1" s="110"/>
      <c r="KTB1" s="110"/>
      <c r="KTC1" s="110"/>
      <c r="KTD1" s="110"/>
      <c r="KTE1" s="110"/>
      <c r="KTF1" s="110"/>
      <c r="KTG1" s="110"/>
      <c r="KTH1" s="110"/>
      <c r="KTI1" s="110"/>
      <c r="KTJ1" s="110"/>
      <c r="KTK1" s="110"/>
      <c r="KTL1" s="110"/>
      <c r="KTM1" s="110"/>
      <c r="KTN1" s="110"/>
      <c r="KTO1" s="110"/>
      <c r="KTP1" s="110"/>
      <c r="KTQ1" s="110"/>
      <c r="KTR1" s="110"/>
      <c r="KTS1" s="110"/>
      <c r="KTT1" s="110"/>
      <c r="KTU1" s="110"/>
      <c r="KTV1" s="110"/>
      <c r="KTW1" s="110"/>
      <c r="KTX1" s="110"/>
      <c r="KTY1" s="110"/>
      <c r="KTZ1" s="110"/>
      <c r="KUA1" s="110"/>
      <c r="KUB1" s="110"/>
      <c r="KUC1" s="110"/>
      <c r="KUD1" s="110"/>
      <c r="KUE1" s="110"/>
      <c r="KUF1" s="110"/>
      <c r="KUG1" s="110"/>
      <c r="KUH1" s="110"/>
      <c r="KUI1" s="110"/>
      <c r="KUJ1" s="110"/>
      <c r="KUK1" s="110"/>
      <c r="KUL1" s="110"/>
      <c r="KUM1" s="110"/>
      <c r="KUN1" s="110"/>
      <c r="KUO1" s="110"/>
      <c r="KUP1" s="110"/>
      <c r="KUQ1" s="110"/>
      <c r="KUR1" s="110"/>
      <c r="KUS1" s="110"/>
      <c r="KUT1" s="110"/>
      <c r="KUU1" s="110"/>
      <c r="KUV1" s="110"/>
      <c r="KUW1" s="110"/>
      <c r="KUX1" s="110"/>
      <c r="KUY1" s="110"/>
      <c r="KUZ1" s="110"/>
      <c r="KVA1" s="110"/>
      <c r="KVB1" s="110"/>
      <c r="KVC1" s="110"/>
      <c r="KVD1" s="110"/>
      <c r="KVE1" s="110"/>
      <c r="KVF1" s="110"/>
      <c r="KVG1" s="110"/>
      <c r="KVH1" s="110"/>
      <c r="KVI1" s="110"/>
      <c r="KVJ1" s="110"/>
      <c r="KVK1" s="110"/>
      <c r="KVL1" s="110"/>
      <c r="KVM1" s="110"/>
      <c r="KVN1" s="110"/>
      <c r="KVO1" s="110"/>
      <c r="KVP1" s="110"/>
      <c r="KVQ1" s="110"/>
      <c r="KVR1" s="110"/>
      <c r="KVS1" s="110"/>
      <c r="KVT1" s="110"/>
      <c r="KVU1" s="110"/>
      <c r="KVV1" s="110"/>
      <c r="KVW1" s="110"/>
      <c r="KVX1" s="110"/>
      <c r="KVY1" s="110"/>
      <c r="KVZ1" s="110"/>
      <c r="KWA1" s="110"/>
      <c r="KWB1" s="110"/>
      <c r="KWC1" s="110"/>
      <c r="KWD1" s="110"/>
      <c r="KWE1" s="110"/>
      <c r="KWF1" s="110"/>
      <c r="KWG1" s="110"/>
      <c r="KWH1" s="110"/>
      <c r="KWI1" s="110"/>
      <c r="KWJ1" s="110"/>
      <c r="KWK1" s="110"/>
      <c r="KWL1" s="110"/>
      <c r="KWM1" s="110"/>
      <c r="KWN1" s="110"/>
      <c r="KWO1" s="110"/>
      <c r="KWP1" s="110"/>
      <c r="KWQ1" s="110"/>
      <c r="KWR1" s="110"/>
      <c r="KWS1" s="110"/>
      <c r="KWT1" s="110"/>
      <c r="KWU1" s="110"/>
      <c r="KWV1" s="110"/>
      <c r="KWW1" s="110"/>
      <c r="KWX1" s="110"/>
      <c r="KWY1" s="110"/>
      <c r="KWZ1" s="110"/>
      <c r="KXA1" s="110"/>
      <c r="KXB1" s="110"/>
      <c r="KXC1" s="110"/>
      <c r="KXD1" s="110"/>
      <c r="KXE1" s="110"/>
      <c r="KXF1" s="110"/>
      <c r="KXG1" s="110"/>
      <c r="KXH1" s="110"/>
      <c r="KXI1" s="110"/>
      <c r="KXJ1" s="110"/>
      <c r="KXK1" s="110"/>
      <c r="KXL1" s="110"/>
      <c r="KXM1" s="110"/>
      <c r="KXN1" s="110"/>
      <c r="KXO1" s="110"/>
      <c r="KXP1" s="110"/>
      <c r="KXQ1" s="110"/>
      <c r="KXR1" s="110"/>
      <c r="KXS1" s="110"/>
      <c r="KXT1" s="110"/>
      <c r="KXU1" s="110"/>
      <c r="KXV1" s="110"/>
      <c r="KXW1" s="110"/>
      <c r="KXX1" s="110"/>
      <c r="KXY1" s="110"/>
      <c r="KXZ1" s="110"/>
      <c r="KYA1" s="110"/>
      <c r="KYB1" s="110"/>
      <c r="KYC1" s="110"/>
      <c r="KYD1" s="110"/>
      <c r="KYE1" s="110"/>
      <c r="KYF1" s="110"/>
      <c r="KYG1" s="110"/>
      <c r="KYH1" s="110"/>
      <c r="KYI1" s="110"/>
      <c r="KYJ1" s="110"/>
      <c r="KYK1" s="110"/>
      <c r="KYL1" s="110"/>
      <c r="KYM1" s="110"/>
      <c r="KYN1" s="110"/>
      <c r="KYO1" s="110"/>
      <c r="KYP1" s="110"/>
      <c r="KYQ1" s="110"/>
      <c r="KYR1" s="110"/>
      <c r="KYS1" s="110"/>
      <c r="KYT1" s="110"/>
      <c r="KYU1" s="110"/>
      <c r="KYV1" s="110"/>
      <c r="KYW1" s="110"/>
      <c r="KYX1" s="110"/>
      <c r="KYY1" s="110"/>
      <c r="KYZ1" s="110"/>
      <c r="KZA1" s="110"/>
      <c r="KZB1" s="110"/>
      <c r="KZC1" s="110"/>
      <c r="KZD1" s="110"/>
      <c r="KZE1" s="110"/>
      <c r="KZF1" s="110"/>
      <c r="KZG1" s="110"/>
      <c r="KZH1" s="110"/>
      <c r="KZI1" s="110"/>
      <c r="KZJ1" s="110"/>
      <c r="KZK1" s="110"/>
      <c r="KZL1" s="110"/>
      <c r="KZM1" s="110"/>
      <c r="KZN1" s="110"/>
      <c r="KZO1" s="110"/>
      <c r="KZP1" s="110"/>
      <c r="KZQ1" s="110"/>
      <c r="KZR1" s="110"/>
      <c r="KZS1" s="110"/>
      <c r="KZT1" s="110"/>
      <c r="KZU1" s="110"/>
      <c r="KZV1" s="110"/>
      <c r="KZW1" s="110"/>
      <c r="KZX1" s="110"/>
      <c r="KZY1" s="110"/>
      <c r="KZZ1" s="110"/>
      <c r="LAA1" s="110"/>
      <c r="LAB1" s="110"/>
      <c r="LAC1" s="110"/>
      <c r="LAD1" s="110"/>
      <c r="LAE1" s="110"/>
      <c r="LAF1" s="110"/>
      <c r="LAG1" s="110"/>
      <c r="LAH1" s="110"/>
      <c r="LAI1" s="110"/>
      <c r="LAJ1" s="110"/>
      <c r="LAK1" s="110"/>
      <c r="LAL1" s="110"/>
      <c r="LAM1" s="110"/>
      <c r="LAN1" s="110"/>
      <c r="LAO1" s="110"/>
      <c r="LAP1" s="110"/>
      <c r="LAQ1" s="110"/>
      <c r="LAR1" s="110"/>
      <c r="LAS1" s="110"/>
      <c r="LAT1" s="110"/>
      <c r="LAU1" s="110"/>
      <c r="LAV1" s="110"/>
      <c r="LAW1" s="110"/>
      <c r="LAX1" s="110"/>
      <c r="LAY1" s="110"/>
      <c r="LAZ1" s="110"/>
      <c r="LBA1" s="110"/>
      <c r="LBB1" s="110"/>
      <c r="LBC1" s="110"/>
      <c r="LBD1" s="110"/>
      <c r="LBE1" s="110"/>
      <c r="LBF1" s="110"/>
      <c r="LBG1" s="110"/>
      <c r="LBH1" s="110"/>
      <c r="LBI1" s="110"/>
      <c r="LBJ1" s="110"/>
      <c r="LBK1" s="110"/>
      <c r="LBL1" s="110"/>
      <c r="LBM1" s="110"/>
      <c r="LBN1" s="110"/>
      <c r="LBO1" s="110"/>
      <c r="LBP1" s="110"/>
      <c r="LBQ1" s="110"/>
      <c r="LBR1" s="110"/>
      <c r="LBS1" s="110"/>
      <c r="LBT1" s="110"/>
      <c r="LBU1" s="110"/>
      <c r="LBV1" s="110"/>
      <c r="LBW1" s="110"/>
      <c r="LBX1" s="110"/>
      <c r="LBY1" s="110"/>
      <c r="LBZ1" s="110"/>
      <c r="LCA1" s="110"/>
      <c r="LCB1" s="110"/>
      <c r="LCC1" s="110"/>
      <c r="LCD1" s="110"/>
      <c r="LCE1" s="110"/>
      <c r="LCF1" s="110"/>
      <c r="LCG1" s="110"/>
      <c r="LCH1" s="110"/>
      <c r="LCI1" s="110"/>
      <c r="LCJ1" s="110"/>
      <c r="LCK1" s="110"/>
      <c r="LCL1" s="110"/>
      <c r="LCM1" s="110"/>
      <c r="LCN1" s="110"/>
      <c r="LCO1" s="110"/>
      <c r="LCP1" s="110"/>
      <c r="LCQ1" s="110"/>
      <c r="LCR1" s="110"/>
      <c r="LCS1" s="110"/>
      <c r="LCT1" s="110"/>
      <c r="LCU1" s="110"/>
      <c r="LCV1" s="110"/>
      <c r="LCW1" s="110"/>
      <c r="LCX1" s="110"/>
      <c r="LCY1" s="110"/>
      <c r="LCZ1" s="110"/>
      <c r="LDA1" s="110"/>
      <c r="LDB1" s="110"/>
      <c r="LDC1" s="110"/>
      <c r="LDD1" s="110"/>
      <c r="LDE1" s="110"/>
      <c r="LDF1" s="110"/>
      <c r="LDG1" s="110"/>
      <c r="LDH1" s="110"/>
      <c r="LDI1" s="110"/>
      <c r="LDJ1" s="110"/>
      <c r="LDK1" s="110"/>
      <c r="LDL1" s="110"/>
      <c r="LDM1" s="110"/>
      <c r="LDN1" s="110"/>
      <c r="LDO1" s="110"/>
      <c r="LDP1" s="110"/>
      <c r="LDQ1" s="110"/>
      <c r="LDR1" s="110"/>
      <c r="LDS1" s="110"/>
      <c r="LDT1" s="110"/>
      <c r="LDU1" s="110"/>
      <c r="LDV1" s="110"/>
      <c r="LDW1" s="110"/>
      <c r="LDX1" s="110"/>
      <c r="LDY1" s="110"/>
      <c r="LDZ1" s="110"/>
      <c r="LEA1" s="110"/>
      <c r="LEB1" s="110"/>
      <c r="LEC1" s="110"/>
      <c r="LED1" s="110"/>
      <c r="LEE1" s="110"/>
      <c r="LEF1" s="110"/>
      <c r="LEG1" s="110"/>
      <c r="LEH1" s="110"/>
      <c r="LEI1" s="110"/>
      <c r="LEJ1" s="110"/>
      <c r="LEK1" s="110"/>
      <c r="LEL1" s="110"/>
      <c r="LEM1" s="110"/>
      <c r="LEN1" s="110"/>
      <c r="LEO1" s="110"/>
      <c r="LEP1" s="110"/>
      <c r="LEQ1" s="110"/>
      <c r="LER1" s="110"/>
      <c r="LES1" s="110"/>
      <c r="LET1" s="110"/>
      <c r="LEU1" s="110"/>
      <c r="LEV1" s="110"/>
      <c r="LEW1" s="110"/>
      <c r="LEX1" s="110"/>
      <c r="LEY1" s="110"/>
      <c r="LEZ1" s="110"/>
      <c r="LFA1" s="110"/>
      <c r="LFB1" s="110"/>
      <c r="LFC1" s="110"/>
      <c r="LFD1" s="110"/>
      <c r="LFE1" s="110"/>
      <c r="LFF1" s="110"/>
      <c r="LFG1" s="110"/>
      <c r="LFH1" s="110"/>
      <c r="LFI1" s="110"/>
      <c r="LFJ1" s="110"/>
      <c r="LFK1" s="110"/>
      <c r="LFL1" s="110"/>
      <c r="LFM1" s="110"/>
      <c r="LFN1" s="110"/>
      <c r="LFO1" s="110"/>
      <c r="LFP1" s="110"/>
      <c r="LFQ1" s="110"/>
      <c r="LFR1" s="110"/>
      <c r="LFS1" s="110"/>
      <c r="LFT1" s="110"/>
      <c r="LFU1" s="110"/>
      <c r="LFV1" s="110"/>
      <c r="LFW1" s="110"/>
      <c r="LFX1" s="110"/>
      <c r="LFY1" s="110"/>
      <c r="LFZ1" s="110"/>
      <c r="LGA1" s="110"/>
      <c r="LGB1" s="110"/>
      <c r="LGC1" s="110"/>
      <c r="LGD1" s="110"/>
      <c r="LGE1" s="110"/>
      <c r="LGF1" s="110"/>
      <c r="LGG1" s="110"/>
      <c r="LGH1" s="110"/>
      <c r="LGI1" s="110"/>
      <c r="LGJ1" s="110"/>
      <c r="LGK1" s="110"/>
      <c r="LGL1" s="110"/>
      <c r="LGM1" s="110"/>
      <c r="LGN1" s="110"/>
      <c r="LGO1" s="110"/>
      <c r="LGP1" s="110"/>
      <c r="LGQ1" s="110"/>
      <c r="LGR1" s="110"/>
      <c r="LGS1" s="110"/>
      <c r="LGT1" s="110"/>
      <c r="LGU1" s="110"/>
      <c r="LGV1" s="110"/>
      <c r="LGW1" s="110"/>
      <c r="LGX1" s="110"/>
      <c r="LGY1" s="110"/>
      <c r="LGZ1" s="110"/>
      <c r="LHA1" s="110"/>
      <c r="LHB1" s="110"/>
      <c r="LHC1" s="110"/>
      <c r="LHD1" s="110"/>
      <c r="LHE1" s="110"/>
      <c r="LHF1" s="110"/>
      <c r="LHG1" s="110"/>
      <c r="LHH1" s="110"/>
      <c r="LHI1" s="110"/>
      <c r="LHJ1" s="110"/>
      <c r="LHK1" s="110"/>
      <c r="LHL1" s="110"/>
      <c r="LHM1" s="110"/>
      <c r="LHN1" s="110"/>
      <c r="LHO1" s="110"/>
      <c r="LHP1" s="110"/>
      <c r="LHQ1" s="110"/>
      <c r="LHR1" s="110"/>
      <c r="LHS1" s="110"/>
      <c r="LHT1" s="110"/>
      <c r="LHU1" s="110"/>
      <c r="LHV1" s="110"/>
      <c r="LHW1" s="110"/>
      <c r="LHX1" s="110"/>
      <c r="LHY1" s="110"/>
      <c r="LHZ1" s="110"/>
      <c r="LIA1" s="110"/>
      <c r="LIB1" s="110"/>
      <c r="LIC1" s="110"/>
      <c r="LID1" s="110"/>
      <c r="LIE1" s="110"/>
      <c r="LIF1" s="110"/>
      <c r="LIG1" s="110"/>
      <c r="LIH1" s="110"/>
      <c r="LII1" s="110"/>
      <c r="LIJ1" s="110"/>
      <c r="LIK1" s="110"/>
      <c r="LIL1" s="110"/>
      <c r="LIM1" s="110"/>
      <c r="LIN1" s="110"/>
      <c r="LIO1" s="110"/>
      <c r="LIP1" s="110"/>
      <c r="LIQ1" s="110"/>
      <c r="LIR1" s="110"/>
      <c r="LIS1" s="110"/>
      <c r="LIT1" s="110"/>
      <c r="LIU1" s="110"/>
      <c r="LIV1" s="110"/>
      <c r="LIW1" s="110"/>
      <c r="LIX1" s="110"/>
      <c r="LIY1" s="110"/>
      <c r="LIZ1" s="110"/>
      <c r="LJA1" s="110"/>
      <c r="LJB1" s="110"/>
      <c r="LJC1" s="110"/>
      <c r="LJD1" s="110"/>
      <c r="LJE1" s="110"/>
      <c r="LJF1" s="110"/>
      <c r="LJG1" s="110"/>
      <c r="LJH1" s="110"/>
      <c r="LJI1" s="110"/>
      <c r="LJJ1" s="110"/>
      <c r="LJK1" s="110"/>
      <c r="LJL1" s="110"/>
      <c r="LJM1" s="110"/>
      <c r="LJN1" s="110"/>
      <c r="LJO1" s="110"/>
      <c r="LJP1" s="110"/>
      <c r="LJQ1" s="110"/>
      <c r="LJR1" s="110"/>
      <c r="LJS1" s="110"/>
      <c r="LJT1" s="110"/>
      <c r="LJU1" s="110"/>
      <c r="LJV1" s="110"/>
      <c r="LJW1" s="110"/>
      <c r="LJX1" s="110"/>
      <c r="LJY1" s="110"/>
      <c r="LJZ1" s="110"/>
      <c r="LKA1" s="110"/>
      <c r="LKB1" s="110"/>
      <c r="LKC1" s="110"/>
      <c r="LKD1" s="110"/>
      <c r="LKE1" s="110"/>
      <c r="LKF1" s="110"/>
      <c r="LKG1" s="110"/>
      <c r="LKH1" s="110"/>
      <c r="LKI1" s="110"/>
      <c r="LKJ1" s="110"/>
      <c r="LKK1" s="110"/>
      <c r="LKL1" s="110"/>
      <c r="LKM1" s="110"/>
      <c r="LKN1" s="110"/>
      <c r="LKO1" s="110"/>
      <c r="LKP1" s="110"/>
      <c r="LKQ1" s="110"/>
      <c r="LKR1" s="110"/>
      <c r="LKS1" s="110"/>
      <c r="LKT1" s="110"/>
      <c r="LKU1" s="110"/>
      <c r="LKV1" s="110"/>
      <c r="LKW1" s="110"/>
      <c r="LKX1" s="110"/>
      <c r="LKY1" s="110"/>
      <c r="LKZ1" s="110"/>
      <c r="LLA1" s="110"/>
      <c r="LLB1" s="110"/>
      <c r="LLC1" s="110"/>
      <c r="LLD1" s="110"/>
      <c r="LLE1" s="110"/>
      <c r="LLF1" s="110"/>
      <c r="LLG1" s="110"/>
      <c r="LLH1" s="110"/>
      <c r="LLI1" s="110"/>
      <c r="LLJ1" s="110"/>
      <c r="LLK1" s="110"/>
      <c r="LLL1" s="110"/>
      <c r="LLM1" s="110"/>
      <c r="LLN1" s="110"/>
      <c r="LLO1" s="110"/>
      <c r="LLP1" s="110"/>
      <c r="LLQ1" s="110"/>
      <c r="LLR1" s="110"/>
      <c r="LLS1" s="110"/>
      <c r="LLT1" s="110"/>
      <c r="LLU1" s="110"/>
      <c r="LLV1" s="110"/>
      <c r="LLW1" s="110"/>
      <c r="LLX1" s="110"/>
      <c r="LLY1" s="110"/>
      <c r="LLZ1" s="110"/>
      <c r="LMA1" s="110"/>
      <c r="LMB1" s="110"/>
      <c r="LMC1" s="110"/>
      <c r="LMD1" s="110"/>
      <c r="LME1" s="110"/>
      <c r="LMF1" s="110"/>
      <c r="LMG1" s="110"/>
      <c r="LMH1" s="110"/>
      <c r="LMI1" s="110"/>
      <c r="LMJ1" s="110"/>
      <c r="LMK1" s="110"/>
      <c r="LML1" s="110"/>
      <c r="LMM1" s="110"/>
      <c r="LMN1" s="110"/>
      <c r="LMO1" s="110"/>
      <c r="LMP1" s="110"/>
      <c r="LMQ1" s="110"/>
      <c r="LMR1" s="110"/>
      <c r="LMS1" s="110"/>
      <c r="LMT1" s="110"/>
      <c r="LMU1" s="110"/>
      <c r="LMV1" s="110"/>
      <c r="LMW1" s="110"/>
      <c r="LMX1" s="110"/>
      <c r="LMY1" s="110"/>
      <c r="LMZ1" s="110"/>
      <c r="LNA1" s="110"/>
      <c r="LNB1" s="110"/>
      <c r="LNC1" s="110"/>
      <c r="LND1" s="110"/>
      <c r="LNE1" s="110"/>
      <c r="LNF1" s="110"/>
      <c r="LNG1" s="110"/>
      <c r="LNH1" s="110"/>
      <c r="LNI1" s="110"/>
      <c r="LNJ1" s="110"/>
      <c r="LNK1" s="110"/>
      <c r="LNL1" s="110"/>
      <c r="LNM1" s="110"/>
      <c r="LNN1" s="110"/>
      <c r="LNO1" s="110"/>
      <c r="LNP1" s="110"/>
      <c r="LNQ1" s="110"/>
      <c r="LNR1" s="110"/>
      <c r="LNS1" s="110"/>
      <c r="LNT1" s="110"/>
      <c r="LNU1" s="110"/>
      <c r="LNV1" s="110"/>
      <c r="LNW1" s="110"/>
      <c r="LNX1" s="110"/>
      <c r="LNY1" s="110"/>
      <c r="LNZ1" s="110"/>
      <c r="LOA1" s="110"/>
      <c r="LOB1" s="110"/>
      <c r="LOC1" s="110"/>
      <c r="LOD1" s="110"/>
      <c r="LOE1" s="110"/>
      <c r="LOF1" s="110"/>
      <c r="LOG1" s="110"/>
      <c r="LOH1" s="110"/>
      <c r="LOI1" s="110"/>
      <c r="LOJ1" s="110"/>
      <c r="LOK1" s="110"/>
      <c r="LOL1" s="110"/>
      <c r="LOM1" s="110"/>
      <c r="LON1" s="110"/>
      <c r="LOO1" s="110"/>
      <c r="LOP1" s="110"/>
      <c r="LOQ1" s="110"/>
      <c r="LOR1" s="110"/>
      <c r="LOS1" s="110"/>
      <c r="LOT1" s="110"/>
      <c r="LOU1" s="110"/>
      <c r="LOV1" s="110"/>
      <c r="LOW1" s="110"/>
      <c r="LOX1" s="110"/>
      <c r="LOY1" s="110"/>
      <c r="LOZ1" s="110"/>
      <c r="LPA1" s="110"/>
      <c r="LPB1" s="110"/>
      <c r="LPC1" s="110"/>
      <c r="LPD1" s="110"/>
      <c r="LPE1" s="110"/>
      <c r="LPF1" s="110"/>
      <c r="LPG1" s="110"/>
      <c r="LPH1" s="110"/>
      <c r="LPI1" s="110"/>
      <c r="LPJ1" s="110"/>
      <c r="LPK1" s="110"/>
      <c r="LPL1" s="110"/>
      <c r="LPM1" s="110"/>
      <c r="LPN1" s="110"/>
      <c r="LPO1" s="110"/>
      <c r="LPP1" s="110"/>
      <c r="LPQ1" s="110"/>
      <c r="LPR1" s="110"/>
      <c r="LPS1" s="110"/>
      <c r="LPT1" s="110"/>
      <c r="LPU1" s="110"/>
      <c r="LPV1" s="110"/>
      <c r="LPW1" s="110"/>
      <c r="LPX1" s="110"/>
      <c r="LPY1" s="110"/>
      <c r="LPZ1" s="110"/>
      <c r="LQA1" s="110"/>
      <c r="LQB1" s="110"/>
      <c r="LQC1" s="110"/>
      <c r="LQD1" s="110"/>
      <c r="LQE1" s="110"/>
      <c r="LQF1" s="110"/>
      <c r="LQG1" s="110"/>
      <c r="LQH1" s="110"/>
      <c r="LQI1" s="110"/>
      <c r="LQJ1" s="110"/>
      <c r="LQK1" s="110"/>
      <c r="LQL1" s="110"/>
      <c r="LQM1" s="110"/>
      <c r="LQN1" s="110"/>
      <c r="LQO1" s="110"/>
      <c r="LQP1" s="110"/>
      <c r="LQQ1" s="110"/>
      <c r="LQR1" s="110"/>
      <c r="LQS1" s="110"/>
      <c r="LQT1" s="110"/>
      <c r="LQU1" s="110"/>
      <c r="LQV1" s="110"/>
      <c r="LQW1" s="110"/>
      <c r="LQX1" s="110"/>
      <c r="LQY1" s="110"/>
      <c r="LQZ1" s="110"/>
      <c r="LRA1" s="110"/>
      <c r="LRB1" s="110"/>
      <c r="LRC1" s="110"/>
      <c r="LRD1" s="110"/>
      <c r="LRE1" s="110"/>
      <c r="LRF1" s="110"/>
      <c r="LRG1" s="110"/>
      <c r="LRH1" s="110"/>
      <c r="LRI1" s="110"/>
      <c r="LRJ1" s="110"/>
      <c r="LRK1" s="110"/>
      <c r="LRL1" s="110"/>
      <c r="LRM1" s="110"/>
      <c r="LRN1" s="110"/>
      <c r="LRO1" s="110"/>
      <c r="LRP1" s="110"/>
      <c r="LRQ1" s="110"/>
      <c r="LRR1" s="110"/>
      <c r="LRS1" s="110"/>
      <c r="LRT1" s="110"/>
      <c r="LRU1" s="110"/>
      <c r="LRV1" s="110"/>
      <c r="LRW1" s="110"/>
      <c r="LRX1" s="110"/>
      <c r="LRY1" s="110"/>
      <c r="LRZ1" s="110"/>
      <c r="LSA1" s="110"/>
      <c r="LSB1" s="110"/>
      <c r="LSC1" s="110"/>
      <c r="LSD1" s="110"/>
      <c r="LSE1" s="110"/>
      <c r="LSF1" s="110"/>
      <c r="LSG1" s="110"/>
      <c r="LSH1" s="110"/>
      <c r="LSI1" s="110"/>
      <c r="LSJ1" s="110"/>
      <c r="LSK1" s="110"/>
      <c r="LSL1" s="110"/>
      <c r="LSM1" s="110"/>
      <c r="LSN1" s="110"/>
      <c r="LSO1" s="110"/>
      <c r="LSP1" s="110"/>
      <c r="LSQ1" s="110"/>
      <c r="LSR1" s="110"/>
      <c r="LSS1" s="110"/>
      <c r="LST1" s="110"/>
      <c r="LSU1" s="110"/>
      <c r="LSV1" s="110"/>
      <c r="LSW1" s="110"/>
      <c r="LSX1" s="110"/>
      <c r="LSY1" s="110"/>
      <c r="LSZ1" s="110"/>
      <c r="LTA1" s="110"/>
      <c r="LTB1" s="110"/>
      <c r="LTC1" s="110"/>
      <c r="LTD1" s="110"/>
      <c r="LTE1" s="110"/>
      <c r="LTF1" s="110"/>
      <c r="LTG1" s="110"/>
      <c r="LTH1" s="110"/>
      <c r="LTI1" s="110"/>
      <c r="LTJ1" s="110"/>
      <c r="LTK1" s="110"/>
      <c r="LTL1" s="110"/>
      <c r="LTM1" s="110"/>
      <c r="LTN1" s="110"/>
      <c r="LTO1" s="110"/>
      <c r="LTP1" s="110"/>
      <c r="LTQ1" s="110"/>
      <c r="LTR1" s="110"/>
      <c r="LTS1" s="110"/>
      <c r="LTT1" s="110"/>
      <c r="LTU1" s="110"/>
      <c r="LTV1" s="110"/>
      <c r="LTW1" s="110"/>
      <c r="LTX1" s="110"/>
      <c r="LTY1" s="110"/>
      <c r="LTZ1" s="110"/>
      <c r="LUA1" s="110"/>
      <c r="LUB1" s="110"/>
      <c r="LUC1" s="110"/>
      <c r="LUD1" s="110"/>
      <c r="LUE1" s="110"/>
      <c r="LUF1" s="110"/>
      <c r="LUG1" s="110"/>
      <c r="LUH1" s="110"/>
      <c r="LUI1" s="110"/>
      <c r="LUJ1" s="110"/>
      <c r="LUK1" s="110"/>
      <c r="LUL1" s="110"/>
      <c r="LUM1" s="110"/>
      <c r="LUN1" s="110"/>
      <c r="LUO1" s="110"/>
      <c r="LUP1" s="110"/>
      <c r="LUQ1" s="110"/>
      <c r="LUR1" s="110"/>
      <c r="LUS1" s="110"/>
      <c r="LUT1" s="110"/>
      <c r="LUU1" s="110"/>
      <c r="LUV1" s="110"/>
      <c r="LUW1" s="110"/>
      <c r="LUX1" s="110"/>
      <c r="LUY1" s="110"/>
      <c r="LUZ1" s="110"/>
      <c r="LVA1" s="110"/>
      <c r="LVB1" s="110"/>
      <c r="LVC1" s="110"/>
      <c r="LVD1" s="110"/>
      <c r="LVE1" s="110"/>
      <c r="LVF1" s="110"/>
      <c r="LVG1" s="110"/>
      <c r="LVH1" s="110"/>
      <c r="LVI1" s="110"/>
      <c r="LVJ1" s="110"/>
      <c r="LVK1" s="110"/>
      <c r="LVL1" s="110"/>
      <c r="LVM1" s="110"/>
      <c r="LVN1" s="110"/>
      <c r="LVO1" s="110"/>
      <c r="LVP1" s="110"/>
      <c r="LVQ1" s="110"/>
      <c r="LVR1" s="110"/>
      <c r="LVS1" s="110"/>
      <c r="LVT1" s="110"/>
      <c r="LVU1" s="110"/>
      <c r="LVV1" s="110"/>
      <c r="LVW1" s="110"/>
      <c r="LVX1" s="110"/>
      <c r="LVY1" s="110"/>
      <c r="LVZ1" s="110"/>
      <c r="LWA1" s="110"/>
      <c r="LWB1" s="110"/>
      <c r="LWC1" s="110"/>
      <c r="LWD1" s="110"/>
      <c r="LWE1" s="110"/>
      <c r="LWF1" s="110"/>
      <c r="LWG1" s="110"/>
      <c r="LWH1" s="110"/>
      <c r="LWI1" s="110"/>
      <c r="LWJ1" s="110"/>
      <c r="LWK1" s="110"/>
      <c r="LWL1" s="110"/>
      <c r="LWM1" s="110"/>
      <c r="LWN1" s="110"/>
      <c r="LWO1" s="110"/>
      <c r="LWP1" s="110"/>
      <c r="LWQ1" s="110"/>
      <c r="LWR1" s="110"/>
      <c r="LWS1" s="110"/>
      <c r="LWT1" s="110"/>
      <c r="LWU1" s="110"/>
      <c r="LWV1" s="110"/>
      <c r="LWW1" s="110"/>
      <c r="LWX1" s="110"/>
      <c r="LWY1" s="110"/>
      <c r="LWZ1" s="110"/>
      <c r="LXA1" s="110"/>
      <c r="LXB1" s="110"/>
      <c r="LXC1" s="110"/>
      <c r="LXD1" s="110"/>
      <c r="LXE1" s="110"/>
      <c r="LXF1" s="110"/>
      <c r="LXG1" s="110"/>
      <c r="LXH1" s="110"/>
      <c r="LXI1" s="110"/>
      <c r="LXJ1" s="110"/>
      <c r="LXK1" s="110"/>
      <c r="LXL1" s="110"/>
      <c r="LXM1" s="110"/>
      <c r="LXN1" s="110"/>
      <c r="LXO1" s="110"/>
      <c r="LXP1" s="110"/>
      <c r="LXQ1" s="110"/>
      <c r="LXR1" s="110"/>
      <c r="LXS1" s="110"/>
      <c r="LXT1" s="110"/>
      <c r="LXU1" s="110"/>
      <c r="LXV1" s="110"/>
      <c r="LXW1" s="110"/>
      <c r="LXX1" s="110"/>
      <c r="LXY1" s="110"/>
      <c r="LXZ1" s="110"/>
      <c r="LYA1" s="110"/>
      <c r="LYB1" s="110"/>
      <c r="LYC1" s="110"/>
      <c r="LYD1" s="110"/>
      <c r="LYE1" s="110"/>
      <c r="LYF1" s="110"/>
      <c r="LYG1" s="110"/>
      <c r="LYH1" s="110"/>
      <c r="LYI1" s="110"/>
      <c r="LYJ1" s="110"/>
      <c r="LYK1" s="110"/>
      <c r="LYL1" s="110"/>
      <c r="LYM1" s="110"/>
      <c r="LYN1" s="110"/>
      <c r="LYO1" s="110"/>
      <c r="LYP1" s="110"/>
      <c r="LYQ1" s="110"/>
      <c r="LYR1" s="110"/>
      <c r="LYS1" s="110"/>
      <c r="LYT1" s="110"/>
      <c r="LYU1" s="110"/>
      <c r="LYV1" s="110"/>
      <c r="LYW1" s="110"/>
      <c r="LYX1" s="110"/>
      <c r="LYY1" s="110"/>
      <c r="LYZ1" s="110"/>
      <c r="LZA1" s="110"/>
      <c r="LZB1" s="110"/>
      <c r="LZC1" s="110"/>
      <c r="LZD1" s="110"/>
      <c r="LZE1" s="110"/>
      <c r="LZF1" s="110"/>
      <c r="LZG1" s="110"/>
      <c r="LZH1" s="110"/>
      <c r="LZI1" s="110"/>
      <c r="LZJ1" s="110"/>
      <c r="LZK1" s="110"/>
      <c r="LZL1" s="110"/>
      <c r="LZM1" s="110"/>
      <c r="LZN1" s="110"/>
      <c r="LZO1" s="110"/>
      <c r="LZP1" s="110"/>
      <c r="LZQ1" s="110"/>
      <c r="LZR1" s="110"/>
      <c r="LZS1" s="110"/>
      <c r="LZT1" s="110"/>
      <c r="LZU1" s="110"/>
      <c r="LZV1" s="110"/>
      <c r="LZW1" s="110"/>
      <c r="LZX1" s="110"/>
      <c r="LZY1" s="110"/>
      <c r="LZZ1" s="110"/>
      <c r="MAA1" s="110"/>
      <c r="MAB1" s="110"/>
      <c r="MAC1" s="110"/>
      <c r="MAD1" s="110"/>
      <c r="MAE1" s="110"/>
      <c r="MAF1" s="110"/>
      <c r="MAG1" s="110"/>
      <c r="MAH1" s="110"/>
      <c r="MAI1" s="110"/>
      <c r="MAJ1" s="110"/>
      <c r="MAK1" s="110"/>
      <c r="MAL1" s="110"/>
      <c r="MAM1" s="110"/>
      <c r="MAN1" s="110"/>
      <c r="MAO1" s="110"/>
      <c r="MAP1" s="110"/>
      <c r="MAQ1" s="110"/>
      <c r="MAR1" s="110"/>
      <c r="MAS1" s="110"/>
      <c r="MAT1" s="110"/>
      <c r="MAU1" s="110"/>
      <c r="MAV1" s="110"/>
      <c r="MAW1" s="110"/>
      <c r="MAX1" s="110"/>
      <c r="MAY1" s="110"/>
      <c r="MAZ1" s="110"/>
      <c r="MBA1" s="110"/>
      <c r="MBB1" s="110"/>
      <c r="MBC1" s="110"/>
      <c r="MBD1" s="110"/>
      <c r="MBE1" s="110"/>
      <c r="MBF1" s="110"/>
      <c r="MBG1" s="110"/>
      <c r="MBH1" s="110"/>
      <c r="MBI1" s="110"/>
      <c r="MBJ1" s="110"/>
      <c r="MBK1" s="110"/>
      <c r="MBL1" s="110"/>
      <c r="MBM1" s="110"/>
      <c r="MBN1" s="110"/>
      <c r="MBO1" s="110"/>
      <c r="MBP1" s="110"/>
      <c r="MBQ1" s="110"/>
      <c r="MBR1" s="110"/>
      <c r="MBS1" s="110"/>
      <c r="MBT1" s="110"/>
      <c r="MBU1" s="110"/>
      <c r="MBV1" s="110"/>
      <c r="MBW1" s="110"/>
      <c r="MBX1" s="110"/>
      <c r="MBY1" s="110"/>
      <c r="MBZ1" s="110"/>
      <c r="MCA1" s="110"/>
      <c r="MCB1" s="110"/>
      <c r="MCC1" s="110"/>
      <c r="MCD1" s="110"/>
      <c r="MCE1" s="110"/>
      <c r="MCF1" s="110"/>
      <c r="MCG1" s="110"/>
      <c r="MCH1" s="110"/>
      <c r="MCI1" s="110"/>
      <c r="MCJ1" s="110"/>
      <c r="MCK1" s="110"/>
      <c r="MCL1" s="110"/>
      <c r="MCM1" s="110"/>
      <c r="MCN1" s="110"/>
      <c r="MCO1" s="110"/>
      <c r="MCP1" s="110"/>
      <c r="MCQ1" s="110"/>
      <c r="MCR1" s="110"/>
      <c r="MCS1" s="110"/>
      <c r="MCT1" s="110"/>
      <c r="MCU1" s="110"/>
      <c r="MCV1" s="110"/>
      <c r="MCW1" s="110"/>
      <c r="MCX1" s="110"/>
      <c r="MCY1" s="110"/>
      <c r="MCZ1" s="110"/>
      <c r="MDA1" s="110"/>
      <c r="MDB1" s="110"/>
      <c r="MDC1" s="110"/>
      <c r="MDD1" s="110"/>
      <c r="MDE1" s="110"/>
      <c r="MDF1" s="110"/>
      <c r="MDG1" s="110"/>
      <c r="MDH1" s="110"/>
      <c r="MDI1" s="110"/>
      <c r="MDJ1" s="110"/>
      <c r="MDK1" s="110"/>
      <c r="MDL1" s="110"/>
      <c r="MDM1" s="110"/>
      <c r="MDN1" s="110"/>
      <c r="MDO1" s="110"/>
      <c r="MDP1" s="110"/>
      <c r="MDQ1" s="110"/>
      <c r="MDR1" s="110"/>
      <c r="MDS1" s="110"/>
      <c r="MDT1" s="110"/>
      <c r="MDU1" s="110"/>
      <c r="MDV1" s="110"/>
      <c r="MDW1" s="110"/>
      <c r="MDX1" s="110"/>
      <c r="MDY1" s="110"/>
      <c r="MDZ1" s="110"/>
      <c r="MEA1" s="110"/>
      <c r="MEB1" s="110"/>
      <c r="MEC1" s="110"/>
      <c r="MED1" s="110"/>
      <c r="MEE1" s="110"/>
      <c r="MEF1" s="110"/>
      <c r="MEG1" s="110"/>
      <c r="MEH1" s="110"/>
      <c r="MEI1" s="110"/>
      <c r="MEJ1" s="110"/>
      <c r="MEK1" s="110"/>
      <c r="MEL1" s="110"/>
      <c r="MEM1" s="110"/>
      <c r="MEN1" s="110"/>
      <c r="MEO1" s="110"/>
      <c r="MEP1" s="110"/>
      <c r="MEQ1" s="110"/>
      <c r="MER1" s="110"/>
      <c r="MES1" s="110"/>
      <c r="MET1" s="110"/>
      <c r="MEU1" s="110"/>
      <c r="MEV1" s="110"/>
      <c r="MEW1" s="110"/>
      <c r="MEX1" s="110"/>
      <c r="MEY1" s="110"/>
      <c r="MEZ1" s="110"/>
      <c r="MFA1" s="110"/>
      <c r="MFB1" s="110"/>
      <c r="MFC1" s="110"/>
      <c r="MFD1" s="110"/>
      <c r="MFE1" s="110"/>
      <c r="MFF1" s="110"/>
      <c r="MFG1" s="110"/>
      <c r="MFH1" s="110"/>
      <c r="MFI1" s="110"/>
      <c r="MFJ1" s="110"/>
      <c r="MFK1" s="110"/>
      <c r="MFL1" s="110"/>
      <c r="MFM1" s="110"/>
      <c r="MFN1" s="110"/>
      <c r="MFO1" s="110"/>
      <c r="MFP1" s="110"/>
      <c r="MFQ1" s="110"/>
      <c r="MFR1" s="110"/>
      <c r="MFS1" s="110"/>
      <c r="MFT1" s="110"/>
      <c r="MFU1" s="110"/>
      <c r="MFV1" s="110"/>
      <c r="MFW1" s="110"/>
      <c r="MFX1" s="110"/>
      <c r="MFY1" s="110"/>
      <c r="MFZ1" s="110"/>
      <c r="MGA1" s="110"/>
      <c r="MGB1" s="110"/>
      <c r="MGC1" s="110"/>
      <c r="MGD1" s="110"/>
      <c r="MGE1" s="110"/>
      <c r="MGF1" s="110"/>
      <c r="MGG1" s="110"/>
      <c r="MGH1" s="110"/>
      <c r="MGI1" s="110"/>
      <c r="MGJ1" s="110"/>
      <c r="MGK1" s="110"/>
      <c r="MGL1" s="110"/>
      <c r="MGM1" s="110"/>
      <c r="MGN1" s="110"/>
      <c r="MGO1" s="110"/>
      <c r="MGP1" s="110"/>
      <c r="MGQ1" s="110"/>
      <c r="MGR1" s="110"/>
      <c r="MGS1" s="110"/>
      <c r="MGT1" s="110"/>
      <c r="MGU1" s="110"/>
      <c r="MGV1" s="110"/>
      <c r="MGW1" s="110"/>
      <c r="MGX1" s="110"/>
      <c r="MGY1" s="110"/>
      <c r="MGZ1" s="110"/>
      <c r="MHA1" s="110"/>
      <c r="MHB1" s="110"/>
      <c r="MHC1" s="110"/>
      <c r="MHD1" s="110"/>
      <c r="MHE1" s="110"/>
      <c r="MHF1" s="110"/>
      <c r="MHG1" s="110"/>
      <c r="MHH1" s="110"/>
      <c r="MHI1" s="110"/>
      <c r="MHJ1" s="110"/>
      <c r="MHK1" s="110"/>
      <c r="MHL1" s="110"/>
      <c r="MHM1" s="110"/>
      <c r="MHN1" s="110"/>
      <c r="MHO1" s="110"/>
      <c r="MHP1" s="110"/>
      <c r="MHQ1" s="110"/>
      <c r="MHR1" s="110"/>
      <c r="MHS1" s="110"/>
      <c r="MHT1" s="110"/>
      <c r="MHU1" s="110"/>
      <c r="MHV1" s="110"/>
      <c r="MHW1" s="110"/>
      <c r="MHX1" s="110"/>
      <c r="MHY1" s="110"/>
      <c r="MHZ1" s="110"/>
      <c r="MIA1" s="110"/>
      <c r="MIB1" s="110"/>
      <c r="MIC1" s="110"/>
      <c r="MID1" s="110"/>
      <c r="MIE1" s="110"/>
      <c r="MIF1" s="110"/>
      <c r="MIG1" s="110"/>
      <c r="MIH1" s="110"/>
      <c r="MII1" s="110"/>
      <c r="MIJ1" s="110"/>
      <c r="MIK1" s="110"/>
      <c r="MIL1" s="110"/>
      <c r="MIM1" s="110"/>
      <c r="MIN1" s="110"/>
      <c r="MIO1" s="110"/>
      <c r="MIP1" s="110"/>
      <c r="MIQ1" s="110"/>
      <c r="MIR1" s="110"/>
      <c r="MIS1" s="110"/>
      <c r="MIT1" s="110"/>
      <c r="MIU1" s="110"/>
      <c r="MIV1" s="110"/>
      <c r="MIW1" s="110"/>
      <c r="MIX1" s="110"/>
      <c r="MIY1" s="110"/>
      <c r="MIZ1" s="110"/>
      <c r="MJA1" s="110"/>
      <c r="MJB1" s="110"/>
      <c r="MJC1" s="110"/>
      <c r="MJD1" s="110"/>
      <c r="MJE1" s="110"/>
      <c r="MJF1" s="110"/>
      <c r="MJG1" s="110"/>
      <c r="MJH1" s="110"/>
      <c r="MJI1" s="110"/>
      <c r="MJJ1" s="110"/>
      <c r="MJK1" s="110"/>
      <c r="MJL1" s="110"/>
      <c r="MJM1" s="110"/>
      <c r="MJN1" s="110"/>
      <c r="MJO1" s="110"/>
      <c r="MJP1" s="110"/>
      <c r="MJQ1" s="110"/>
      <c r="MJR1" s="110"/>
      <c r="MJS1" s="110"/>
      <c r="MJT1" s="110"/>
      <c r="MJU1" s="110"/>
      <c r="MJV1" s="110"/>
      <c r="MJW1" s="110"/>
      <c r="MJX1" s="110"/>
      <c r="MJY1" s="110"/>
      <c r="MJZ1" s="110"/>
      <c r="MKA1" s="110"/>
      <c r="MKB1" s="110"/>
      <c r="MKC1" s="110"/>
      <c r="MKD1" s="110"/>
      <c r="MKE1" s="110"/>
      <c r="MKF1" s="110"/>
      <c r="MKG1" s="110"/>
      <c r="MKH1" s="110"/>
      <c r="MKI1" s="110"/>
      <c r="MKJ1" s="110"/>
      <c r="MKK1" s="110"/>
      <c r="MKL1" s="110"/>
      <c r="MKM1" s="110"/>
      <c r="MKN1" s="110"/>
      <c r="MKO1" s="110"/>
      <c r="MKP1" s="110"/>
      <c r="MKQ1" s="110"/>
      <c r="MKR1" s="110"/>
      <c r="MKS1" s="110"/>
      <c r="MKT1" s="110"/>
      <c r="MKU1" s="110"/>
      <c r="MKV1" s="110"/>
      <c r="MKW1" s="110"/>
      <c r="MKX1" s="110"/>
      <c r="MKY1" s="110"/>
      <c r="MKZ1" s="110"/>
      <c r="MLA1" s="110"/>
      <c r="MLB1" s="110"/>
      <c r="MLC1" s="110"/>
      <c r="MLD1" s="110"/>
      <c r="MLE1" s="110"/>
      <c r="MLF1" s="110"/>
      <c r="MLG1" s="110"/>
      <c r="MLH1" s="110"/>
      <c r="MLI1" s="110"/>
      <c r="MLJ1" s="110"/>
      <c r="MLK1" s="110"/>
      <c r="MLL1" s="110"/>
      <c r="MLM1" s="110"/>
      <c r="MLN1" s="110"/>
      <c r="MLO1" s="110"/>
      <c r="MLP1" s="110"/>
      <c r="MLQ1" s="110"/>
      <c r="MLR1" s="110"/>
      <c r="MLS1" s="110"/>
      <c r="MLT1" s="110"/>
      <c r="MLU1" s="110"/>
      <c r="MLV1" s="110"/>
      <c r="MLW1" s="110"/>
      <c r="MLX1" s="110"/>
      <c r="MLY1" s="110"/>
      <c r="MLZ1" s="110"/>
      <c r="MMA1" s="110"/>
      <c r="MMB1" s="110"/>
      <c r="MMC1" s="110"/>
      <c r="MMD1" s="110"/>
      <c r="MME1" s="110"/>
      <c r="MMF1" s="110"/>
      <c r="MMG1" s="110"/>
      <c r="MMH1" s="110"/>
      <c r="MMI1" s="110"/>
      <c r="MMJ1" s="110"/>
      <c r="MMK1" s="110"/>
      <c r="MML1" s="110"/>
      <c r="MMM1" s="110"/>
      <c r="MMN1" s="110"/>
      <c r="MMO1" s="110"/>
      <c r="MMP1" s="110"/>
      <c r="MMQ1" s="110"/>
      <c r="MMR1" s="110"/>
      <c r="MMS1" s="110"/>
      <c r="MMT1" s="110"/>
      <c r="MMU1" s="110"/>
      <c r="MMV1" s="110"/>
      <c r="MMW1" s="110"/>
      <c r="MMX1" s="110"/>
      <c r="MMY1" s="110"/>
      <c r="MMZ1" s="110"/>
      <c r="MNA1" s="110"/>
      <c r="MNB1" s="110"/>
      <c r="MNC1" s="110"/>
      <c r="MND1" s="110"/>
      <c r="MNE1" s="110"/>
      <c r="MNF1" s="110"/>
      <c r="MNG1" s="110"/>
      <c r="MNH1" s="110"/>
      <c r="MNI1" s="110"/>
      <c r="MNJ1" s="110"/>
      <c r="MNK1" s="110"/>
      <c r="MNL1" s="110"/>
      <c r="MNM1" s="110"/>
      <c r="MNN1" s="110"/>
      <c r="MNO1" s="110"/>
      <c r="MNP1" s="110"/>
      <c r="MNQ1" s="110"/>
      <c r="MNR1" s="110"/>
      <c r="MNS1" s="110"/>
      <c r="MNT1" s="110"/>
      <c r="MNU1" s="110"/>
      <c r="MNV1" s="110"/>
      <c r="MNW1" s="110"/>
      <c r="MNX1" s="110"/>
      <c r="MNY1" s="110"/>
      <c r="MNZ1" s="110"/>
      <c r="MOA1" s="110"/>
      <c r="MOB1" s="110"/>
      <c r="MOC1" s="110"/>
      <c r="MOD1" s="110"/>
      <c r="MOE1" s="110"/>
      <c r="MOF1" s="110"/>
      <c r="MOG1" s="110"/>
      <c r="MOH1" s="110"/>
      <c r="MOI1" s="110"/>
      <c r="MOJ1" s="110"/>
      <c r="MOK1" s="110"/>
      <c r="MOL1" s="110"/>
      <c r="MOM1" s="110"/>
      <c r="MON1" s="110"/>
      <c r="MOO1" s="110"/>
      <c r="MOP1" s="110"/>
      <c r="MOQ1" s="110"/>
      <c r="MOR1" s="110"/>
      <c r="MOS1" s="110"/>
      <c r="MOT1" s="110"/>
      <c r="MOU1" s="110"/>
      <c r="MOV1" s="110"/>
      <c r="MOW1" s="110"/>
      <c r="MOX1" s="110"/>
      <c r="MOY1" s="110"/>
      <c r="MOZ1" s="110"/>
      <c r="MPA1" s="110"/>
      <c r="MPB1" s="110"/>
      <c r="MPC1" s="110"/>
      <c r="MPD1" s="110"/>
      <c r="MPE1" s="110"/>
      <c r="MPF1" s="110"/>
      <c r="MPG1" s="110"/>
      <c r="MPH1" s="110"/>
      <c r="MPI1" s="110"/>
      <c r="MPJ1" s="110"/>
      <c r="MPK1" s="110"/>
      <c r="MPL1" s="110"/>
      <c r="MPM1" s="110"/>
      <c r="MPN1" s="110"/>
      <c r="MPO1" s="110"/>
      <c r="MPP1" s="110"/>
      <c r="MPQ1" s="110"/>
      <c r="MPR1" s="110"/>
      <c r="MPS1" s="110"/>
      <c r="MPT1" s="110"/>
      <c r="MPU1" s="110"/>
      <c r="MPV1" s="110"/>
      <c r="MPW1" s="110"/>
      <c r="MPX1" s="110"/>
      <c r="MPY1" s="110"/>
      <c r="MPZ1" s="110"/>
      <c r="MQA1" s="110"/>
      <c r="MQB1" s="110"/>
      <c r="MQC1" s="110"/>
      <c r="MQD1" s="110"/>
      <c r="MQE1" s="110"/>
      <c r="MQF1" s="110"/>
      <c r="MQG1" s="110"/>
      <c r="MQH1" s="110"/>
      <c r="MQI1" s="110"/>
      <c r="MQJ1" s="110"/>
      <c r="MQK1" s="110"/>
      <c r="MQL1" s="110"/>
      <c r="MQM1" s="110"/>
      <c r="MQN1" s="110"/>
      <c r="MQO1" s="110"/>
      <c r="MQP1" s="110"/>
      <c r="MQQ1" s="110"/>
      <c r="MQR1" s="110"/>
      <c r="MQS1" s="110"/>
      <c r="MQT1" s="110"/>
      <c r="MQU1" s="110"/>
      <c r="MQV1" s="110"/>
      <c r="MQW1" s="110"/>
      <c r="MQX1" s="110"/>
      <c r="MQY1" s="110"/>
      <c r="MQZ1" s="110"/>
      <c r="MRA1" s="110"/>
      <c r="MRB1" s="110"/>
      <c r="MRC1" s="110"/>
      <c r="MRD1" s="110"/>
      <c r="MRE1" s="110"/>
      <c r="MRF1" s="110"/>
      <c r="MRG1" s="110"/>
      <c r="MRH1" s="110"/>
      <c r="MRI1" s="110"/>
      <c r="MRJ1" s="110"/>
      <c r="MRK1" s="110"/>
      <c r="MRL1" s="110"/>
      <c r="MRM1" s="110"/>
      <c r="MRN1" s="110"/>
      <c r="MRO1" s="110"/>
      <c r="MRP1" s="110"/>
      <c r="MRQ1" s="110"/>
      <c r="MRR1" s="110"/>
      <c r="MRS1" s="110"/>
      <c r="MRT1" s="110"/>
      <c r="MRU1" s="110"/>
      <c r="MRV1" s="110"/>
      <c r="MRW1" s="110"/>
      <c r="MRX1" s="110"/>
      <c r="MRY1" s="110"/>
      <c r="MRZ1" s="110"/>
      <c r="MSA1" s="110"/>
      <c r="MSB1" s="110"/>
      <c r="MSC1" s="110"/>
      <c r="MSD1" s="110"/>
      <c r="MSE1" s="110"/>
      <c r="MSF1" s="110"/>
      <c r="MSG1" s="110"/>
      <c r="MSH1" s="110"/>
      <c r="MSI1" s="110"/>
      <c r="MSJ1" s="110"/>
      <c r="MSK1" s="110"/>
      <c r="MSL1" s="110"/>
      <c r="MSM1" s="110"/>
      <c r="MSN1" s="110"/>
      <c r="MSO1" s="110"/>
      <c r="MSP1" s="110"/>
      <c r="MSQ1" s="110"/>
      <c r="MSR1" s="110"/>
      <c r="MSS1" s="110"/>
      <c r="MST1" s="110"/>
      <c r="MSU1" s="110"/>
      <c r="MSV1" s="110"/>
      <c r="MSW1" s="110"/>
      <c r="MSX1" s="110"/>
      <c r="MSY1" s="110"/>
      <c r="MSZ1" s="110"/>
      <c r="MTA1" s="110"/>
      <c r="MTB1" s="110"/>
      <c r="MTC1" s="110"/>
      <c r="MTD1" s="110"/>
      <c r="MTE1" s="110"/>
      <c r="MTF1" s="110"/>
      <c r="MTG1" s="110"/>
      <c r="MTH1" s="110"/>
      <c r="MTI1" s="110"/>
      <c r="MTJ1" s="110"/>
      <c r="MTK1" s="110"/>
      <c r="MTL1" s="110"/>
      <c r="MTM1" s="110"/>
      <c r="MTN1" s="110"/>
      <c r="MTO1" s="110"/>
      <c r="MTP1" s="110"/>
      <c r="MTQ1" s="110"/>
      <c r="MTR1" s="110"/>
      <c r="MTS1" s="110"/>
      <c r="MTT1" s="110"/>
      <c r="MTU1" s="110"/>
      <c r="MTV1" s="110"/>
      <c r="MTW1" s="110"/>
      <c r="MTX1" s="110"/>
      <c r="MTY1" s="110"/>
      <c r="MTZ1" s="110"/>
      <c r="MUA1" s="110"/>
      <c r="MUB1" s="110"/>
      <c r="MUC1" s="110"/>
      <c r="MUD1" s="110"/>
      <c r="MUE1" s="110"/>
      <c r="MUF1" s="110"/>
      <c r="MUG1" s="110"/>
      <c r="MUH1" s="110"/>
      <c r="MUI1" s="110"/>
      <c r="MUJ1" s="110"/>
      <c r="MUK1" s="110"/>
      <c r="MUL1" s="110"/>
      <c r="MUM1" s="110"/>
      <c r="MUN1" s="110"/>
      <c r="MUO1" s="110"/>
      <c r="MUP1" s="110"/>
      <c r="MUQ1" s="110"/>
      <c r="MUR1" s="110"/>
      <c r="MUS1" s="110"/>
      <c r="MUT1" s="110"/>
      <c r="MUU1" s="110"/>
      <c r="MUV1" s="110"/>
      <c r="MUW1" s="110"/>
      <c r="MUX1" s="110"/>
      <c r="MUY1" s="110"/>
      <c r="MUZ1" s="110"/>
      <c r="MVA1" s="110"/>
      <c r="MVB1" s="110"/>
      <c r="MVC1" s="110"/>
      <c r="MVD1" s="110"/>
      <c r="MVE1" s="110"/>
      <c r="MVF1" s="110"/>
      <c r="MVG1" s="110"/>
      <c r="MVH1" s="110"/>
      <c r="MVI1" s="110"/>
      <c r="MVJ1" s="110"/>
      <c r="MVK1" s="110"/>
      <c r="MVL1" s="110"/>
      <c r="MVM1" s="110"/>
      <c r="MVN1" s="110"/>
      <c r="MVO1" s="110"/>
      <c r="MVP1" s="110"/>
      <c r="MVQ1" s="110"/>
      <c r="MVR1" s="110"/>
      <c r="MVS1" s="110"/>
      <c r="MVT1" s="110"/>
      <c r="MVU1" s="110"/>
      <c r="MVV1" s="110"/>
      <c r="MVW1" s="110"/>
      <c r="MVX1" s="110"/>
      <c r="MVY1" s="110"/>
      <c r="MVZ1" s="110"/>
      <c r="MWA1" s="110"/>
      <c r="MWB1" s="110"/>
      <c r="MWC1" s="110"/>
      <c r="MWD1" s="110"/>
      <c r="MWE1" s="110"/>
      <c r="MWF1" s="110"/>
      <c r="MWG1" s="110"/>
      <c r="MWH1" s="110"/>
      <c r="MWI1" s="110"/>
      <c r="MWJ1" s="110"/>
      <c r="MWK1" s="110"/>
      <c r="MWL1" s="110"/>
      <c r="MWM1" s="110"/>
      <c r="MWN1" s="110"/>
      <c r="MWO1" s="110"/>
      <c r="MWP1" s="110"/>
      <c r="MWQ1" s="110"/>
      <c r="MWR1" s="110"/>
      <c r="MWS1" s="110"/>
      <c r="MWT1" s="110"/>
      <c r="MWU1" s="110"/>
      <c r="MWV1" s="110"/>
      <c r="MWW1" s="110"/>
      <c r="MWX1" s="110"/>
      <c r="MWY1" s="110"/>
      <c r="MWZ1" s="110"/>
      <c r="MXA1" s="110"/>
      <c r="MXB1" s="110"/>
      <c r="MXC1" s="110"/>
      <c r="MXD1" s="110"/>
      <c r="MXE1" s="110"/>
      <c r="MXF1" s="110"/>
      <c r="MXG1" s="110"/>
      <c r="MXH1" s="110"/>
      <c r="MXI1" s="110"/>
      <c r="MXJ1" s="110"/>
      <c r="MXK1" s="110"/>
      <c r="MXL1" s="110"/>
      <c r="MXM1" s="110"/>
      <c r="MXN1" s="110"/>
      <c r="MXO1" s="110"/>
      <c r="MXP1" s="110"/>
      <c r="MXQ1" s="110"/>
      <c r="MXR1" s="110"/>
      <c r="MXS1" s="110"/>
      <c r="MXT1" s="110"/>
      <c r="MXU1" s="110"/>
      <c r="MXV1" s="110"/>
      <c r="MXW1" s="110"/>
      <c r="MXX1" s="110"/>
      <c r="MXY1" s="110"/>
      <c r="MXZ1" s="110"/>
      <c r="MYA1" s="110"/>
      <c r="MYB1" s="110"/>
      <c r="MYC1" s="110"/>
      <c r="MYD1" s="110"/>
      <c r="MYE1" s="110"/>
      <c r="MYF1" s="110"/>
      <c r="MYG1" s="110"/>
      <c r="MYH1" s="110"/>
      <c r="MYI1" s="110"/>
      <c r="MYJ1" s="110"/>
      <c r="MYK1" s="110"/>
      <c r="MYL1" s="110"/>
      <c r="MYM1" s="110"/>
      <c r="MYN1" s="110"/>
      <c r="MYO1" s="110"/>
      <c r="MYP1" s="110"/>
      <c r="MYQ1" s="110"/>
      <c r="MYR1" s="110"/>
      <c r="MYS1" s="110"/>
      <c r="MYT1" s="110"/>
      <c r="MYU1" s="110"/>
      <c r="MYV1" s="110"/>
      <c r="MYW1" s="110"/>
      <c r="MYX1" s="110"/>
      <c r="MYY1" s="110"/>
      <c r="MYZ1" s="110"/>
      <c r="MZA1" s="110"/>
      <c r="MZB1" s="110"/>
      <c r="MZC1" s="110"/>
      <c r="MZD1" s="110"/>
      <c r="MZE1" s="110"/>
      <c r="MZF1" s="110"/>
      <c r="MZG1" s="110"/>
      <c r="MZH1" s="110"/>
      <c r="MZI1" s="110"/>
      <c r="MZJ1" s="110"/>
      <c r="MZK1" s="110"/>
      <c r="MZL1" s="110"/>
      <c r="MZM1" s="110"/>
      <c r="MZN1" s="110"/>
      <c r="MZO1" s="110"/>
      <c r="MZP1" s="110"/>
      <c r="MZQ1" s="110"/>
      <c r="MZR1" s="110"/>
      <c r="MZS1" s="110"/>
      <c r="MZT1" s="110"/>
      <c r="MZU1" s="110"/>
      <c r="MZV1" s="110"/>
      <c r="MZW1" s="110"/>
      <c r="MZX1" s="110"/>
      <c r="MZY1" s="110"/>
      <c r="MZZ1" s="110"/>
      <c r="NAA1" s="110"/>
      <c r="NAB1" s="110"/>
      <c r="NAC1" s="110"/>
      <c r="NAD1" s="110"/>
      <c r="NAE1" s="110"/>
      <c r="NAF1" s="110"/>
      <c r="NAG1" s="110"/>
      <c r="NAH1" s="110"/>
      <c r="NAI1" s="110"/>
      <c r="NAJ1" s="110"/>
      <c r="NAK1" s="110"/>
      <c r="NAL1" s="110"/>
      <c r="NAM1" s="110"/>
      <c r="NAN1" s="110"/>
      <c r="NAO1" s="110"/>
      <c r="NAP1" s="110"/>
      <c r="NAQ1" s="110"/>
      <c r="NAR1" s="110"/>
      <c r="NAS1" s="110"/>
      <c r="NAT1" s="110"/>
      <c r="NAU1" s="110"/>
      <c r="NAV1" s="110"/>
      <c r="NAW1" s="110"/>
      <c r="NAX1" s="110"/>
      <c r="NAY1" s="110"/>
      <c r="NAZ1" s="110"/>
      <c r="NBA1" s="110"/>
      <c r="NBB1" s="110"/>
      <c r="NBC1" s="110"/>
      <c r="NBD1" s="110"/>
      <c r="NBE1" s="110"/>
      <c r="NBF1" s="110"/>
      <c r="NBG1" s="110"/>
      <c r="NBH1" s="110"/>
      <c r="NBI1" s="110"/>
      <c r="NBJ1" s="110"/>
      <c r="NBK1" s="110"/>
      <c r="NBL1" s="110"/>
      <c r="NBM1" s="110"/>
      <c r="NBN1" s="110"/>
      <c r="NBO1" s="110"/>
      <c r="NBP1" s="110"/>
      <c r="NBQ1" s="110"/>
      <c r="NBR1" s="110"/>
      <c r="NBS1" s="110"/>
      <c r="NBT1" s="110"/>
      <c r="NBU1" s="110"/>
      <c r="NBV1" s="110"/>
      <c r="NBW1" s="110"/>
      <c r="NBX1" s="110"/>
      <c r="NBY1" s="110"/>
      <c r="NBZ1" s="110"/>
      <c r="NCA1" s="110"/>
      <c r="NCB1" s="110"/>
      <c r="NCC1" s="110"/>
      <c r="NCD1" s="110"/>
      <c r="NCE1" s="110"/>
      <c r="NCF1" s="110"/>
      <c r="NCG1" s="110"/>
      <c r="NCH1" s="110"/>
      <c r="NCI1" s="110"/>
      <c r="NCJ1" s="110"/>
      <c r="NCK1" s="110"/>
      <c r="NCL1" s="110"/>
      <c r="NCM1" s="110"/>
      <c r="NCN1" s="110"/>
      <c r="NCO1" s="110"/>
      <c r="NCP1" s="110"/>
      <c r="NCQ1" s="110"/>
      <c r="NCR1" s="110"/>
      <c r="NCS1" s="110"/>
      <c r="NCT1" s="110"/>
      <c r="NCU1" s="110"/>
      <c r="NCV1" s="110"/>
      <c r="NCW1" s="110"/>
      <c r="NCX1" s="110"/>
      <c r="NCY1" s="110"/>
      <c r="NCZ1" s="110"/>
      <c r="NDA1" s="110"/>
      <c r="NDB1" s="110"/>
      <c r="NDC1" s="110"/>
      <c r="NDD1" s="110"/>
      <c r="NDE1" s="110"/>
      <c r="NDF1" s="110"/>
      <c r="NDG1" s="110"/>
      <c r="NDH1" s="110"/>
      <c r="NDI1" s="110"/>
      <c r="NDJ1" s="110"/>
      <c r="NDK1" s="110"/>
      <c r="NDL1" s="110"/>
      <c r="NDM1" s="110"/>
      <c r="NDN1" s="110"/>
      <c r="NDO1" s="110"/>
      <c r="NDP1" s="110"/>
      <c r="NDQ1" s="110"/>
      <c r="NDR1" s="110"/>
      <c r="NDS1" s="110"/>
      <c r="NDT1" s="110"/>
      <c r="NDU1" s="110"/>
      <c r="NDV1" s="110"/>
      <c r="NDW1" s="110"/>
      <c r="NDX1" s="110"/>
      <c r="NDY1" s="110"/>
      <c r="NDZ1" s="110"/>
      <c r="NEA1" s="110"/>
      <c r="NEB1" s="110"/>
      <c r="NEC1" s="110"/>
      <c r="NED1" s="110"/>
      <c r="NEE1" s="110"/>
      <c r="NEF1" s="110"/>
      <c r="NEG1" s="110"/>
      <c r="NEH1" s="110"/>
      <c r="NEI1" s="110"/>
      <c r="NEJ1" s="110"/>
      <c r="NEK1" s="110"/>
      <c r="NEL1" s="110"/>
      <c r="NEM1" s="110"/>
      <c r="NEN1" s="110"/>
      <c r="NEO1" s="110"/>
      <c r="NEP1" s="110"/>
      <c r="NEQ1" s="110"/>
      <c r="NER1" s="110"/>
      <c r="NES1" s="110"/>
      <c r="NET1" s="110"/>
      <c r="NEU1" s="110"/>
      <c r="NEV1" s="110"/>
      <c r="NEW1" s="110"/>
      <c r="NEX1" s="110"/>
      <c r="NEY1" s="110"/>
      <c r="NEZ1" s="110"/>
      <c r="NFA1" s="110"/>
      <c r="NFB1" s="110"/>
      <c r="NFC1" s="110"/>
      <c r="NFD1" s="110"/>
      <c r="NFE1" s="110"/>
      <c r="NFF1" s="110"/>
      <c r="NFG1" s="110"/>
      <c r="NFH1" s="110"/>
      <c r="NFI1" s="110"/>
      <c r="NFJ1" s="110"/>
      <c r="NFK1" s="110"/>
      <c r="NFL1" s="110"/>
      <c r="NFM1" s="110"/>
      <c r="NFN1" s="110"/>
      <c r="NFO1" s="110"/>
      <c r="NFP1" s="110"/>
      <c r="NFQ1" s="110"/>
      <c r="NFR1" s="110"/>
      <c r="NFS1" s="110"/>
      <c r="NFT1" s="110"/>
      <c r="NFU1" s="110"/>
      <c r="NFV1" s="110"/>
      <c r="NFW1" s="110"/>
      <c r="NFX1" s="110"/>
      <c r="NFY1" s="110"/>
      <c r="NFZ1" s="110"/>
      <c r="NGA1" s="110"/>
      <c r="NGB1" s="110"/>
      <c r="NGC1" s="110"/>
      <c r="NGD1" s="110"/>
      <c r="NGE1" s="110"/>
      <c r="NGF1" s="110"/>
      <c r="NGG1" s="110"/>
      <c r="NGH1" s="110"/>
      <c r="NGI1" s="110"/>
      <c r="NGJ1" s="110"/>
      <c r="NGK1" s="110"/>
      <c r="NGL1" s="110"/>
      <c r="NGM1" s="110"/>
      <c r="NGN1" s="110"/>
      <c r="NGO1" s="110"/>
      <c r="NGP1" s="110"/>
      <c r="NGQ1" s="110"/>
      <c r="NGR1" s="110"/>
      <c r="NGS1" s="110"/>
      <c r="NGT1" s="110"/>
      <c r="NGU1" s="110"/>
      <c r="NGV1" s="110"/>
      <c r="NGW1" s="110"/>
      <c r="NGX1" s="110"/>
      <c r="NGY1" s="110"/>
      <c r="NGZ1" s="110"/>
      <c r="NHA1" s="110"/>
      <c r="NHB1" s="110"/>
      <c r="NHC1" s="110"/>
      <c r="NHD1" s="110"/>
      <c r="NHE1" s="110"/>
      <c r="NHF1" s="110"/>
      <c r="NHG1" s="110"/>
      <c r="NHH1" s="110"/>
      <c r="NHI1" s="110"/>
      <c r="NHJ1" s="110"/>
      <c r="NHK1" s="110"/>
      <c r="NHL1" s="110"/>
      <c r="NHM1" s="110"/>
      <c r="NHN1" s="110"/>
      <c r="NHO1" s="110"/>
      <c r="NHP1" s="110"/>
      <c r="NHQ1" s="110"/>
      <c r="NHR1" s="110"/>
      <c r="NHS1" s="110"/>
      <c r="NHT1" s="110"/>
      <c r="NHU1" s="110"/>
      <c r="NHV1" s="110"/>
      <c r="NHW1" s="110"/>
      <c r="NHX1" s="110"/>
      <c r="NHY1" s="110"/>
      <c r="NHZ1" s="110"/>
      <c r="NIA1" s="110"/>
      <c r="NIB1" s="110"/>
      <c r="NIC1" s="110"/>
      <c r="NID1" s="110"/>
      <c r="NIE1" s="110"/>
      <c r="NIF1" s="110"/>
      <c r="NIG1" s="110"/>
      <c r="NIH1" s="110"/>
      <c r="NII1" s="110"/>
      <c r="NIJ1" s="110"/>
      <c r="NIK1" s="110"/>
      <c r="NIL1" s="110"/>
      <c r="NIM1" s="110"/>
      <c r="NIN1" s="110"/>
      <c r="NIO1" s="110"/>
      <c r="NIP1" s="110"/>
      <c r="NIQ1" s="110"/>
      <c r="NIR1" s="110"/>
      <c r="NIS1" s="110"/>
      <c r="NIT1" s="110"/>
      <c r="NIU1" s="110"/>
      <c r="NIV1" s="110"/>
      <c r="NIW1" s="110"/>
      <c r="NIX1" s="110"/>
      <c r="NIY1" s="110"/>
      <c r="NIZ1" s="110"/>
      <c r="NJA1" s="110"/>
      <c r="NJB1" s="110"/>
      <c r="NJC1" s="110"/>
      <c r="NJD1" s="110"/>
      <c r="NJE1" s="110"/>
      <c r="NJF1" s="110"/>
      <c r="NJG1" s="110"/>
      <c r="NJH1" s="110"/>
      <c r="NJI1" s="110"/>
      <c r="NJJ1" s="110"/>
      <c r="NJK1" s="110"/>
      <c r="NJL1" s="110"/>
      <c r="NJM1" s="110"/>
      <c r="NJN1" s="110"/>
      <c r="NJO1" s="110"/>
      <c r="NJP1" s="110"/>
      <c r="NJQ1" s="110"/>
      <c r="NJR1" s="110"/>
      <c r="NJS1" s="110"/>
      <c r="NJT1" s="110"/>
      <c r="NJU1" s="110"/>
      <c r="NJV1" s="110"/>
      <c r="NJW1" s="110"/>
      <c r="NJX1" s="110"/>
      <c r="NJY1" s="110"/>
      <c r="NJZ1" s="110"/>
      <c r="NKA1" s="110"/>
      <c r="NKB1" s="110"/>
      <c r="NKC1" s="110"/>
      <c r="NKD1" s="110"/>
      <c r="NKE1" s="110"/>
      <c r="NKF1" s="110"/>
      <c r="NKG1" s="110"/>
      <c r="NKH1" s="110"/>
      <c r="NKI1" s="110"/>
      <c r="NKJ1" s="110"/>
      <c r="NKK1" s="110"/>
      <c r="NKL1" s="110"/>
      <c r="NKM1" s="110"/>
      <c r="NKN1" s="110"/>
      <c r="NKO1" s="110"/>
      <c r="NKP1" s="110"/>
      <c r="NKQ1" s="110"/>
      <c r="NKR1" s="110"/>
      <c r="NKS1" s="110"/>
      <c r="NKT1" s="110"/>
      <c r="NKU1" s="110"/>
      <c r="NKV1" s="110"/>
      <c r="NKW1" s="110"/>
      <c r="NKX1" s="110"/>
      <c r="NKY1" s="110"/>
      <c r="NKZ1" s="110"/>
      <c r="NLA1" s="110"/>
      <c r="NLB1" s="110"/>
      <c r="NLC1" s="110"/>
      <c r="NLD1" s="110"/>
      <c r="NLE1" s="110"/>
      <c r="NLF1" s="110"/>
      <c r="NLG1" s="110"/>
      <c r="NLH1" s="110"/>
      <c r="NLI1" s="110"/>
      <c r="NLJ1" s="110"/>
      <c r="NLK1" s="110"/>
      <c r="NLL1" s="110"/>
      <c r="NLM1" s="110"/>
      <c r="NLN1" s="110"/>
      <c r="NLO1" s="110"/>
      <c r="NLP1" s="110"/>
      <c r="NLQ1" s="110"/>
      <c r="NLR1" s="110"/>
      <c r="NLS1" s="110"/>
      <c r="NLT1" s="110"/>
      <c r="NLU1" s="110"/>
      <c r="NLV1" s="110"/>
      <c r="NLW1" s="110"/>
      <c r="NLX1" s="110"/>
      <c r="NLY1" s="110"/>
      <c r="NLZ1" s="110"/>
      <c r="NMA1" s="110"/>
      <c r="NMB1" s="110"/>
      <c r="NMC1" s="110"/>
      <c r="NMD1" s="110"/>
      <c r="NME1" s="110"/>
      <c r="NMF1" s="110"/>
      <c r="NMG1" s="110"/>
      <c r="NMH1" s="110"/>
      <c r="NMI1" s="110"/>
      <c r="NMJ1" s="110"/>
      <c r="NMK1" s="110"/>
      <c r="NML1" s="110"/>
      <c r="NMM1" s="110"/>
      <c r="NMN1" s="110"/>
      <c r="NMO1" s="110"/>
      <c r="NMP1" s="110"/>
      <c r="NMQ1" s="110"/>
      <c r="NMR1" s="110"/>
      <c r="NMS1" s="110"/>
      <c r="NMT1" s="110"/>
      <c r="NMU1" s="110"/>
      <c r="NMV1" s="110"/>
      <c r="NMW1" s="110"/>
      <c r="NMX1" s="110"/>
      <c r="NMY1" s="110"/>
      <c r="NMZ1" s="110"/>
      <c r="NNA1" s="110"/>
      <c r="NNB1" s="110"/>
      <c r="NNC1" s="110"/>
      <c r="NND1" s="110"/>
      <c r="NNE1" s="110"/>
      <c r="NNF1" s="110"/>
      <c r="NNG1" s="110"/>
      <c r="NNH1" s="110"/>
      <c r="NNI1" s="110"/>
      <c r="NNJ1" s="110"/>
      <c r="NNK1" s="110"/>
      <c r="NNL1" s="110"/>
      <c r="NNM1" s="110"/>
      <c r="NNN1" s="110"/>
      <c r="NNO1" s="110"/>
      <c r="NNP1" s="110"/>
      <c r="NNQ1" s="110"/>
      <c r="NNR1" s="110"/>
      <c r="NNS1" s="110"/>
      <c r="NNT1" s="110"/>
      <c r="NNU1" s="110"/>
      <c r="NNV1" s="110"/>
      <c r="NNW1" s="110"/>
      <c r="NNX1" s="110"/>
      <c r="NNY1" s="110"/>
      <c r="NNZ1" s="110"/>
      <c r="NOA1" s="110"/>
      <c r="NOB1" s="110"/>
      <c r="NOC1" s="110"/>
      <c r="NOD1" s="110"/>
      <c r="NOE1" s="110"/>
      <c r="NOF1" s="110"/>
      <c r="NOG1" s="110"/>
      <c r="NOH1" s="110"/>
      <c r="NOI1" s="110"/>
      <c r="NOJ1" s="110"/>
      <c r="NOK1" s="110"/>
      <c r="NOL1" s="110"/>
      <c r="NOM1" s="110"/>
      <c r="NON1" s="110"/>
      <c r="NOO1" s="110"/>
      <c r="NOP1" s="110"/>
      <c r="NOQ1" s="110"/>
      <c r="NOR1" s="110"/>
      <c r="NOS1" s="110"/>
      <c r="NOT1" s="110"/>
      <c r="NOU1" s="110"/>
      <c r="NOV1" s="110"/>
      <c r="NOW1" s="110"/>
      <c r="NOX1" s="110"/>
      <c r="NOY1" s="110"/>
      <c r="NOZ1" s="110"/>
      <c r="NPA1" s="110"/>
      <c r="NPB1" s="110"/>
      <c r="NPC1" s="110"/>
      <c r="NPD1" s="110"/>
      <c r="NPE1" s="110"/>
      <c r="NPF1" s="110"/>
      <c r="NPG1" s="110"/>
      <c r="NPH1" s="110"/>
      <c r="NPI1" s="110"/>
      <c r="NPJ1" s="110"/>
      <c r="NPK1" s="110"/>
      <c r="NPL1" s="110"/>
      <c r="NPM1" s="110"/>
      <c r="NPN1" s="110"/>
      <c r="NPO1" s="110"/>
      <c r="NPP1" s="110"/>
      <c r="NPQ1" s="110"/>
      <c r="NPR1" s="110"/>
      <c r="NPS1" s="110"/>
      <c r="NPT1" s="110"/>
      <c r="NPU1" s="110"/>
      <c r="NPV1" s="110"/>
      <c r="NPW1" s="110"/>
      <c r="NPX1" s="110"/>
      <c r="NPY1" s="110"/>
      <c r="NPZ1" s="110"/>
      <c r="NQA1" s="110"/>
      <c r="NQB1" s="110"/>
      <c r="NQC1" s="110"/>
      <c r="NQD1" s="110"/>
      <c r="NQE1" s="110"/>
      <c r="NQF1" s="110"/>
      <c r="NQG1" s="110"/>
      <c r="NQH1" s="110"/>
      <c r="NQI1" s="110"/>
      <c r="NQJ1" s="110"/>
      <c r="NQK1" s="110"/>
      <c r="NQL1" s="110"/>
      <c r="NQM1" s="110"/>
      <c r="NQN1" s="110"/>
      <c r="NQO1" s="110"/>
      <c r="NQP1" s="110"/>
      <c r="NQQ1" s="110"/>
      <c r="NQR1" s="110"/>
      <c r="NQS1" s="110"/>
      <c r="NQT1" s="110"/>
      <c r="NQU1" s="110"/>
      <c r="NQV1" s="110"/>
      <c r="NQW1" s="110"/>
      <c r="NQX1" s="110"/>
      <c r="NQY1" s="110"/>
      <c r="NQZ1" s="110"/>
      <c r="NRA1" s="110"/>
      <c r="NRB1" s="110"/>
      <c r="NRC1" s="110"/>
      <c r="NRD1" s="110"/>
      <c r="NRE1" s="110"/>
      <c r="NRF1" s="110"/>
      <c r="NRG1" s="110"/>
      <c r="NRH1" s="110"/>
      <c r="NRI1" s="110"/>
      <c r="NRJ1" s="110"/>
      <c r="NRK1" s="110"/>
      <c r="NRL1" s="110"/>
      <c r="NRM1" s="110"/>
      <c r="NRN1" s="110"/>
      <c r="NRO1" s="110"/>
      <c r="NRP1" s="110"/>
      <c r="NRQ1" s="110"/>
      <c r="NRR1" s="110"/>
      <c r="NRS1" s="110"/>
      <c r="NRT1" s="110"/>
      <c r="NRU1" s="110"/>
      <c r="NRV1" s="110"/>
      <c r="NRW1" s="110"/>
      <c r="NRX1" s="110"/>
      <c r="NRY1" s="110"/>
      <c r="NRZ1" s="110"/>
      <c r="NSA1" s="110"/>
      <c r="NSB1" s="110"/>
      <c r="NSC1" s="110"/>
      <c r="NSD1" s="110"/>
      <c r="NSE1" s="110"/>
      <c r="NSF1" s="110"/>
      <c r="NSG1" s="110"/>
      <c r="NSH1" s="110"/>
      <c r="NSI1" s="110"/>
      <c r="NSJ1" s="110"/>
      <c r="NSK1" s="110"/>
      <c r="NSL1" s="110"/>
      <c r="NSM1" s="110"/>
      <c r="NSN1" s="110"/>
      <c r="NSO1" s="110"/>
      <c r="NSP1" s="110"/>
      <c r="NSQ1" s="110"/>
      <c r="NSR1" s="110"/>
      <c r="NSS1" s="110"/>
      <c r="NST1" s="110"/>
      <c r="NSU1" s="110"/>
      <c r="NSV1" s="110"/>
      <c r="NSW1" s="110"/>
      <c r="NSX1" s="110"/>
      <c r="NSY1" s="110"/>
      <c r="NSZ1" s="110"/>
      <c r="NTA1" s="110"/>
      <c r="NTB1" s="110"/>
      <c r="NTC1" s="110"/>
      <c r="NTD1" s="110"/>
      <c r="NTE1" s="110"/>
      <c r="NTF1" s="110"/>
      <c r="NTG1" s="110"/>
      <c r="NTH1" s="110"/>
      <c r="NTI1" s="110"/>
      <c r="NTJ1" s="110"/>
      <c r="NTK1" s="110"/>
      <c r="NTL1" s="110"/>
      <c r="NTM1" s="110"/>
      <c r="NTN1" s="110"/>
      <c r="NTO1" s="110"/>
      <c r="NTP1" s="110"/>
      <c r="NTQ1" s="110"/>
      <c r="NTR1" s="110"/>
      <c r="NTS1" s="110"/>
      <c r="NTT1" s="110"/>
      <c r="NTU1" s="110"/>
      <c r="NTV1" s="110"/>
      <c r="NTW1" s="110"/>
      <c r="NTX1" s="110"/>
      <c r="NTY1" s="110"/>
      <c r="NTZ1" s="110"/>
      <c r="NUA1" s="110"/>
      <c r="NUB1" s="110"/>
      <c r="NUC1" s="110"/>
      <c r="NUD1" s="110"/>
      <c r="NUE1" s="110"/>
      <c r="NUF1" s="110"/>
      <c r="NUG1" s="110"/>
      <c r="NUH1" s="110"/>
      <c r="NUI1" s="110"/>
      <c r="NUJ1" s="110"/>
      <c r="NUK1" s="110"/>
      <c r="NUL1" s="110"/>
      <c r="NUM1" s="110"/>
      <c r="NUN1" s="110"/>
      <c r="NUO1" s="110"/>
      <c r="NUP1" s="110"/>
      <c r="NUQ1" s="110"/>
      <c r="NUR1" s="110"/>
      <c r="NUS1" s="110"/>
      <c r="NUT1" s="110"/>
      <c r="NUU1" s="110"/>
      <c r="NUV1" s="110"/>
      <c r="NUW1" s="110"/>
      <c r="NUX1" s="110"/>
      <c r="NUY1" s="110"/>
      <c r="NUZ1" s="110"/>
      <c r="NVA1" s="110"/>
      <c r="NVB1" s="110"/>
      <c r="NVC1" s="110"/>
      <c r="NVD1" s="110"/>
      <c r="NVE1" s="110"/>
      <c r="NVF1" s="110"/>
      <c r="NVG1" s="110"/>
      <c r="NVH1" s="110"/>
      <c r="NVI1" s="110"/>
      <c r="NVJ1" s="110"/>
      <c r="NVK1" s="110"/>
      <c r="NVL1" s="110"/>
      <c r="NVM1" s="110"/>
      <c r="NVN1" s="110"/>
      <c r="NVO1" s="110"/>
      <c r="NVP1" s="110"/>
      <c r="NVQ1" s="110"/>
      <c r="NVR1" s="110"/>
      <c r="NVS1" s="110"/>
      <c r="NVT1" s="110"/>
      <c r="NVU1" s="110"/>
      <c r="NVV1" s="110"/>
      <c r="NVW1" s="110"/>
      <c r="NVX1" s="110"/>
      <c r="NVY1" s="110"/>
      <c r="NVZ1" s="110"/>
      <c r="NWA1" s="110"/>
      <c r="NWB1" s="110"/>
      <c r="NWC1" s="110"/>
      <c r="NWD1" s="110"/>
      <c r="NWE1" s="110"/>
      <c r="NWF1" s="110"/>
      <c r="NWG1" s="110"/>
      <c r="NWH1" s="110"/>
      <c r="NWI1" s="110"/>
      <c r="NWJ1" s="110"/>
      <c r="NWK1" s="110"/>
      <c r="NWL1" s="110"/>
      <c r="NWM1" s="110"/>
      <c r="NWN1" s="110"/>
      <c r="NWO1" s="110"/>
      <c r="NWP1" s="110"/>
      <c r="NWQ1" s="110"/>
      <c r="NWR1" s="110"/>
      <c r="NWS1" s="110"/>
      <c r="NWT1" s="110"/>
      <c r="NWU1" s="110"/>
      <c r="NWV1" s="110"/>
      <c r="NWW1" s="110"/>
      <c r="NWX1" s="110"/>
      <c r="NWY1" s="110"/>
      <c r="NWZ1" s="110"/>
      <c r="NXA1" s="110"/>
      <c r="NXB1" s="110"/>
      <c r="NXC1" s="110"/>
      <c r="NXD1" s="110"/>
      <c r="NXE1" s="110"/>
      <c r="NXF1" s="110"/>
      <c r="NXG1" s="110"/>
      <c r="NXH1" s="110"/>
      <c r="NXI1" s="110"/>
      <c r="NXJ1" s="110"/>
      <c r="NXK1" s="110"/>
      <c r="NXL1" s="110"/>
      <c r="NXM1" s="110"/>
      <c r="NXN1" s="110"/>
      <c r="NXO1" s="110"/>
      <c r="NXP1" s="110"/>
      <c r="NXQ1" s="110"/>
      <c r="NXR1" s="110"/>
      <c r="NXS1" s="110"/>
      <c r="NXT1" s="110"/>
      <c r="NXU1" s="110"/>
      <c r="NXV1" s="110"/>
      <c r="NXW1" s="110"/>
      <c r="NXX1" s="110"/>
      <c r="NXY1" s="110"/>
      <c r="NXZ1" s="110"/>
      <c r="NYA1" s="110"/>
      <c r="NYB1" s="110"/>
      <c r="NYC1" s="110"/>
      <c r="NYD1" s="110"/>
      <c r="NYE1" s="110"/>
      <c r="NYF1" s="110"/>
      <c r="NYG1" s="110"/>
      <c r="NYH1" s="110"/>
      <c r="NYI1" s="110"/>
      <c r="NYJ1" s="110"/>
      <c r="NYK1" s="110"/>
      <c r="NYL1" s="110"/>
      <c r="NYM1" s="110"/>
      <c r="NYN1" s="110"/>
      <c r="NYO1" s="110"/>
      <c r="NYP1" s="110"/>
      <c r="NYQ1" s="110"/>
      <c r="NYR1" s="110"/>
      <c r="NYS1" s="110"/>
      <c r="NYT1" s="110"/>
      <c r="NYU1" s="110"/>
      <c r="NYV1" s="110"/>
      <c r="NYW1" s="110"/>
      <c r="NYX1" s="110"/>
      <c r="NYY1" s="110"/>
      <c r="NYZ1" s="110"/>
      <c r="NZA1" s="110"/>
      <c r="NZB1" s="110"/>
      <c r="NZC1" s="110"/>
      <c r="NZD1" s="110"/>
      <c r="NZE1" s="110"/>
      <c r="NZF1" s="110"/>
      <c r="NZG1" s="110"/>
      <c r="NZH1" s="110"/>
      <c r="NZI1" s="110"/>
      <c r="NZJ1" s="110"/>
      <c r="NZK1" s="110"/>
      <c r="NZL1" s="110"/>
      <c r="NZM1" s="110"/>
      <c r="NZN1" s="110"/>
      <c r="NZO1" s="110"/>
      <c r="NZP1" s="110"/>
      <c r="NZQ1" s="110"/>
      <c r="NZR1" s="110"/>
      <c r="NZS1" s="110"/>
      <c r="NZT1" s="110"/>
      <c r="NZU1" s="110"/>
      <c r="NZV1" s="110"/>
      <c r="NZW1" s="110"/>
      <c r="NZX1" s="110"/>
      <c r="NZY1" s="110"/>
      <c r="NZZ1" s="110"/>
      <c r="OAA1" s="110"/>
      <c r="OAB1" s="110"/>
      <c r="OAC1" s="110"/>
      <c r="OAD1" s="110"/>
      <c r="OAE1" s="110"/>
      <c r="OAF1" s="110"/>
      <c r="OAG1" s="110"/>
      <c r="OAH1" s="110"/>
      <c r="OAI1" s="110"/>
      <c r="OAJ1" s="110"/>
      <c r="OAK1" s="110"/>
      <c r="OAL1" s="110"/>
      <c r="OAM1" s="110"/>
      <c r="OAN1" s="110"/>
      <c r="OAO1" s="110"/>
      <c r="OAP1" s="110"/>
      <c r="OAQ1" s="110"/>
      <c r="OAR1" s="110"/>
      <c r="OAS1" s="110"/>
      <c r="OAT1" s="110"/>
      <c r="OAU1" s="110"/>
      <c r="OAV1" s="110"/>
      <c r="OAW1" s="110"/>
      <c r="OAX1" s="110"/>
      <c r="OAY1" s="110"/>
      <c r="OAZ1" s="110"/>
      <c r="OBA1" s="110"/>
      <c r="OBB1" s="110"/>
      <c r="OBC1" s="110"/>
      <c r="OBD1" s="110"/>
      <c r="OBE1" s="110"/>
      <c r="OBF1" s="110"/>
      <c r="OBG1" s="110"/>
      <c r="OBH1" s="110"/>
      <c r="OBI1" s="110"/>
      <c r="OBJ1" s="110"/>
      <c r="OBK1" s="110"/>
      <c r="OBL1" s="110"/>
      <c r="OBM1" s="110"/>
      <c r="OBN1" s="110"/>
      <c r="OBO1" s="110"/>
      <c r="OBP1" s="110"/>
      <c r="OBQ1" s="110"/>
      <c r="OBR1" s="110"/>
      <c r="OBS1" s="110"/>
      <c r="OBT1" s="110"/>
      <c r="OBU1" s="110"/>
      <c r="OBV1" s="110"/>
      <c r="OBW1" s="110"/>
      <c r="OBX1" s="110"/>
      <c r="OBY1" s="110"/>
      <c r="OBZ1" s="110"/>
      <c r="OCA1" s="110"/>
      <c r="OCB1" s="110"/>
      <c r="OCC1" s="110"/>
      <c r="OCD1" s="110"/>
      <c r="OCE1" s="110"/>
      <c r="OCF1" s="110"/>
      <c r="OCG1" s="110"/>
      <c r="OCH1" s="110"/>
      <c r="OCI1" s="110"/>
      <c r="OCJ1" s="110"/>
      <c r="OCK1" s="110"/>
      <c r="OCL1" s="110"/>
      <c r="OCM1" s="110"/>
      <c r="OCN1" s="110"/>
      <c r="OCO1" s="110"/>
      <c r="OCP1" s="110"/>
      <c r="OCQ1" s="110"/>
      <c r="OCR1" s="110"/>
      <c r="OCS1" s="110"/>
      <c r="OCT1" s="110"/>
      <c r="OCU1" s="110"/>
      <c r="OCV1" s="110"/>
      <c r="OCW1" s="110"/>
      <c r="OCX1" s="110"/>
      <c r="OCY1" s="110"/>
      <c r="OCZ1" s="110"/>
      <c r="ODA1" s="110"/>
      <c r="ODB1" s="110"/>
      <c r="ODC1" s="110"/>
      <c r="ODD1" s="110"/>
      <c r="ODE1" s="110"/>
      <c r="ODF1" s="110"/>
      <c r="ODG1" s="110"/>
      <c r="ODH1" s="110"/>
      <c r="ODI1" s="110"/>
      <c r="ODJ1" s="110"/>
      <c r="ODK1" s="110"/>
      <c r="ODL1" s="110"/>
      <c r="ODM1" s="110"/>
      <c r="ODN1" s="110"/>
      <c r="ODO1" s="110"/>
      <c r="ODP1" s="110"/>
      <c r="ODQ1" s="110"/>
      <c r="ODR1" s="110"/>
      <c r="ODS1" s="110"/>
      <c r="ODT1" s="110"/>
      <c r="ODU1" s="110"/>
      <c r="ODV1" s="110"/>
      <c r="ODW1" s="110"/>
      <c r="ODX1" s="110"/>
      <c r="ODY1" s="110"/>
      <c r="ODZ1" s="110"/>
      <c r="OEA1" s="110"/>
      <c r="OEB1" s="110"/>
      <c r="OEC1" s="110"/>
      <c r="OED1" s="110"/>
      <c r="OEE1" s="110"/>
      <c r="OEF1" s="110"/>
      <c r="OEG1" s="110"/>
      <c r="OEH1" s="110"/>
      <c r="OEI1" s="110"/>
      <c r="OEJ1" s="110"/>
      <c r="OEK1" s="110"/>
      <c r="OEL1" s="110"/>
      <c r="OEM1" s="110"/>
      <c r="OEN1" s="110"/>
      <c r="OEO1" s="110"/>
      <c r="OEP1" s="110"/>
      <c r="OEQ1" s="110"/>
      <c r="OER1" s="110"/>
      <c r="OES1" s="110"/>
      <c r="OET1" s="110"/>
      <c r="OEU1" s="110"/>
      <c r="OEV1" s="110"/>
      <c r="OEW1" s="110"/>
      <c r="OEX1" s="110"/>
      <c r="OEY1" s="110"/>
      <c r="OEZ1" s="110"/>
      <c r="OFA1" s="110"/>
      <c r="OFB1" s="110"/>
      <c r="OFC1" s="110"/>
      <c r="OFD1" s="110"/>
      <c r="OFE1" s="110"/>
      <c r="OFF1" s="110"/>
      <c r="OFG1" s="110"/>
      <c r="OFH1" s="110"/>
      <c r="OFI1" s="110"/>
      <c r="OFJ1" s="110"/>
      <c r="OFK1" s="110"/>
      <c r="OFL1" s="110"/>
      <c r="OFM1" s="110"/>
      <c r="OFN1" s="110"/>
      <c r="OFO1" s="110"/>
      <c r="OFP1" s="110"/>
      <c r="OFQ1" s="110"/>
      <c r="OFR1" s="110"/>
      <c r="OFS1" s="110"/>
      <c r="OFT1" s="110"/>
      <c r="OFU1" s="110"/>
      <c r="OFV1" s="110"/>
      <c r="OFW1" s="110"/>
      <c r="OFX1" s="110"/>
      <c r="OFY1" s="110"/>
      <c r="OFZ1" s="110"/>
      <c r="OGA1" s="110"/>
      <c r="OGB1" s="110"/>
      <c r="OGC1" s="110"/>
      <c r="OGD1" s="110"/>
      <c r="OGE1" s="110"/>
      <c r="OGF1" s="110"/>
      <c r="OGG1" s="110"/>
      <c r="OGH1" s="110"/>
      <c r="OGI1" s="110"/>
      <c r="OGJ1" s="110"/>
      <c r="OGK1" s="110"/>
      <c r="OGL1" s="110"/>
      <c r="OGM1" s="110"/>
      <c r="OGN1" s="110"/>
      <c r="OGO1" s="110"/>
      <c r="OGP1" s="110"/>
      <c r="OGQ1" s="110"/>
      <c r="OGR1" s="110"/>
      <c r="OGS1" s="110"/>
      <c r="OGT1" s="110"/>
      <c r="OGU1" s="110"/>
      <c r="OGV1" s="110"/>
      <c r="OGW1" s="110"/>
      <c r="OGX1" s="110"/>
      <c r="OGY1" s="110"/>
      <c r="OGZ1" s="110"/>
      <c r="OHA1" s="110"/>
      <c r="OHB1" s="110"/>
      <c r="OHC1" s="110"/>
      <c r="OHD1" s="110"/>
      <c r="OHE1" s="110"/>
      <c r="OHF1" s="110"/>
      <c r="OHG1" s="110"/>
      <c r="OHH1" s="110"/>
      <c r="OHI1" s="110"/>
      <c r="OHJ1" s="110"/>
      <c r="OHK1" s="110"/>
      <c r="OHL1" s="110"/>
      <c r="OHM1" s="110"/>
      <c r="OHN1" s="110"/>
      <c r="OHO1" s="110"/>
      <c r="OHP1" s="110"/>
      <c r="OHQ1" s="110"/>
      <c r="OHR1" s="110"/>
      <c r="OHS1" s="110"/>
      <c r="OHT1" s="110"/>
      <c r="OHU1" s="110"/>
      <c r="OHV1" s="110"/>
      <c r="OHW1" s="110"/>
      <c r="OHX1" s="110"/>
      <c r="OHY1" s="110"/>
      <c r="OHZ1" s="110"/>
      <c r="OIA1" s="110"/>
      <c r="OIB1" s="110"/>
      <c r="OIC1" s="110"/>
      <c r="OID1" s="110"/>
      <c r="OIE1" s="110"/>
      <c r="OIF1" s="110"/>
      <c r="OIG1" s="110"/>
      <c r="OIH1" s="110"/>
      <c r="OII1" s="110"/>
      <c r="OIJ1" s="110"/>
      <c r="OIK1" s="110"/>
      <c r="OIL1" s="110"/>
      <c r="OIM1" s="110"/>
      <c r="OIN1" s="110"/>
      <c r="OIO1" s="110"/>
      <c r="OIP1" s="110"/>
      <c r="OIQ1" s="110"/>
      <c r="OIR1" s="110"/>
      <c r="OIS1" s="110"/>
      <c r="OIT1" s="110"/>
      <c r="OIU1" s="110"/>
      <c r="OIV1" s="110"/>
      <c r="OIW1" s="110"/>
      <c r="OIX1" s="110"/>
      <c r="OIY1" s="110"/>
      <c r="OIZ1" s="110"/>
      <c r="OJA1" s="110"/>
      <c r="OJB1" s="110"/>
      <c r="OJC1" s="110"/>
      <c r="OJD1" s="110"/>
      <c r="OJE1" s="110"/>
      <c r="OJF1" s="110"/>
      <c r="OJG1" s="110"/>
      <c r="OJH1" s="110"/>
      <c r="OJI1" s="110"/>
      <c r="OJJ1" s="110"/>
      <c r="OJK1" s="110"/>
      <c r="OJL1" s="110"/>
      <c r="OJM1" s="110"/>
      <c r="OJN1" s="110"/>
      <c r="OJO1" s="110"/>
      <c r="OJP1" s="110"/>
      <c r="OJQ1" s="110"/>
      <c r="OJR1" s="110"/>
      <c r="OJS1" s="110"/>
      <c r="OJT1" s="110"/>
      <c r="OJU1" s="110"/>
      <c r="OJV1" s="110"/>
      <c r="OJW1" s="110"/>
      <c r="OJX1" s="110"/>
      <c r="OJY1" s="110"/>
      <c r="OJZ1" s="110"/>
      <c r="OKA1" s="110"/>
      <c r="OKB1" s="110"/>
      <c r="OKC1" s="110"/>
      <c r="OKD1" s="110"/>
      <c r="OKE1" s="110"/>
      <c r="OKF1" s="110"/>
      <c r="OKG1" s="110"/>
      <c r="OKH1" s="110"/>
      <c r="OKI1" s="110"/>
      <c r="OKJ1" s="110"/>
      <c r="OKK1" s="110"/>
      <c r="OKL1" s="110"/>
      <c r="OKM1" s="110"/>
      <c r="OKN1" s="110"/>
      <c r="OKO1" s="110"/>
      <c r="OKP1" s="110"/>
      <c r="OKQ1" s="110"/>
      <c r="OKR1" s="110"/>
      <c r="OKS1" s="110"/>
      <c r="OKT1" s="110"/>
      <c r="OKU1" s="110"/>
      <c r="OKV1" s="110"/>
      <c r="OKW1" s="110"/>
      <c r="OKX1" s="110"/>
      <c r="OKY1" s="110"/>
      <c r="OKZ1" s="110"/>
      <c r="OLA1" s="110"/>
      <c r="OLB1" s="110"/>
      <c r="OLC1" s="110"/>
      <c r="OLD1" s="110"/>
      <c r="OLE1" s="110"/>
      <c r="OLF1" s="110"/>
      <c r="OLG1" s="110"/>
      <c r="OLH1" s="110"/>
      <c r="OLI1" s="110"/>
      <c r="OLJ1" s="110"/>
      <c r="OLK1" s="110"/>
      <c r="OLL1" s="110"/>
      <c r="OLM1" s="110"/>
      <c r="OLN1" s="110"/>
      <c r="OLO1" s="110"/>
      <c r="OLP1" s="110"/>
      <c r="OLQ1" s="110"/>
      <c r="OLR1" s="110"/>
      <c r="OLS1" s="110"/>
      <c r="OLT1" s="110"/>
      <c r="OLU1" s="110"/>
      <c r="OLV1" s="110"/>
      <c r="OLW1" s="110"/>
      <c r="OLX1" s="110"/>
      <c r="OLY1" s="110"/>
      <c r="OLZ1" s="110"/>
      <c r="OMA1" s="110"/>
      <c r="OMB1" s="110"/>
      <c r="OMC1" s="110"/>
      <c r="OMD1" s="110"/>
      <c r="OME1" s="110"/>
      <c r="OMF1" s="110"/>
      <c r="OMG1" s="110"/>
      <c r="OMH1" s="110"/>
      <c r="OMI1" s="110"/>
      <c r="OMJ1" s="110"/>
      <c r="OMK1" s="110"/>
      <c r="OML1" s="110"/>
      <c r="OMM1" s="110"/>
      <c r="OMN1" s="110"/>
      <c r="OMO1" s="110"/>
      <c r="OMP1" s="110"/>
      <c r="OMQ1" s="110"/>
      <c r="OMR1" s="110"/>
      <c r="OMS1" s="110"/>
      <c r="OMT1" s="110"/>
      <c r="OMU1" s="110"/>
      <c r="OMV1" s="110"/>
      <c r="OMW1" s="110"/>
      <c r="OMX1" s="110"/>
      <c r="OMY1" s="110"/>
      <c r="OMZ1" s="110"/>
      <c r="ONA1" s="110"/>
      <c r="ONB1" s="110"/>
      <c r="ONC1" s="110"/>
      <c r="OND1" s="110"/>
      <c r="ONE1" s="110"/>
      <c r="ONF1" s="110"/>
      <c r="ONG1" s="110"/>
      <c r="ONH1" s="110"/>
      <c r="ONI1" s="110"/>
      <c r="ONJ1" s="110"/>
      <c r="ONK1" s="110"/>
      <c r="ONL1" s="110"/>
      <c r="ONM1" s="110"/>
      <c r="ONN1" s="110"/>
      <c r="ONO1" s="110"/>
      <c r="ONP1" s="110"/>
      <c r="ONQ1" s="110"/>
      <c r="ONR1" s="110"/>
      <c r="ONS1" s="110"/>
      <c r="ONT1" s="110"/>
      <c r="ONU1" s="110"/>
      <c r="ONV1" s="110"/>
      <c r="ONW1" s="110"/>
      <c r="ONX1" s="110"/>
      <c r="ONY1" s="110"/>
      <c r="ONZ1" s="110"/>
      <c r="OOA1" s="110"/>
      <c r="OOB1" s="110"/>
      <c r="OOC1" s="110"/>
      <c r="OOD1" s="110"/>
      <c r="OOE1" s="110"/>
      <c r="OOF1" s="110"/>
      <c r="OOG1" s="110"/>
      <c r="OOH1" s="110"/>
      <c r="OOI1" s="110"/>
      <c r="OOJ1" s="110"/>
      <c r="OOK1" s="110"/>
      <c r="OOL1" s="110"/>
      <c r="OOM1" s="110"/>
      <c r="OON1" s="110"/>
      <c r="OOO1" s="110"/>
      <c r="OOP1" s="110"/>
      <c r="OOQ1" s="110"/>
      <c r="OOR1" s="110"/>
      <c r="OOS1" s="110"/>
      <c r="OOT1" s="110"/>
      <c r="OOU1" s="110"/>
      <c r="OOV1" s="110"/>
      <c r="OOW1" s="110"/>
      <c r="OOX1" s="110"/>
      <c r="OOY1" s="110"/>
      <c r="OOZ1" s="110"/>
      <c r="OPA1" s="110"/>
      <c r="OPB1" s="110"/>
      <c r="OPC1" s="110"/>
      <c r="OPD1" s="110"/>
      <c r="OPE1" s="110"/>
      <c r="OPF1" s="110"/>
      <c r="OPG1" s="110"/>
      <c r="OPH1" s="110"/>
      <c r="OPI1" s="110"/>
      <c r="OPJ1" s="110"/>
      <c r="OPK1" s="110"/>
      <c r="OPL1" s="110"/>
      <c r="OPM1" s="110"/>
      <c r="OPN1" s="110"/>
      <c r="OPO1" s="110"/>
      <c r="OPP1" s="110"/>
      <c r="OPQ1" s="110"/>
      <c r="OPR1" s="110"/>
      <c r="OPS1" s="110"/>
      <c r="OPT1" s="110"/>
      <c r="OPU1" s="110"/>
      <c r="OPV1" s="110"/>
      <c r="OPW1" s="110"/>
      <c r="OPX1" s="110"/>
      <c r="OPY1" s="110"/>
      <c r="OPZ1" s="110"/>
      <c r="OQA1" s="110"/>
      <c r="OQB1" s="110"/>
      <c r="OQC1" s="110"/>
      <c r="OQD1" s="110"/>
      <c r="OQE1" s="110"/>
      <c r="OQF1" s="110"/>
      <c r="OQG1" s="110"/>
      <c r="OQH1" s="110"/>
      <c r="OQI1" s="110"/>
      <c r="OQJ1" s="110"/>
      <c r="OQK1" s="110"/>
      <c r="OQL1" s="110"/>
      <c r="OQM1" s="110"/>
      <c r="OQN1" s="110"/>
      <c r="OQO1" s="110"/>
      <c r="OQP1" s="110"/>
      <c r="OQQ1" s="110"/>
      <c r="OQR1" s="110"/>
      <c r="OQS1" s="110"/>
      <c r="OQT1" s="110"/>
      <c r="OQU1" s="110"/>
      <c r="OQV1" s="110"/>
      <c r="OQW1" s="110"/>
      <c r="OQX1" s="110"/>
      <c r="OQY1" s="110"/>
      <c r="OQZ1" s="110"/>
      <c r="ORA1" s="110"/>
      <c r="ORB1" s="110"/>
      <c r="ORC1" s="110"/>
      <c r="ORD1" s="110"/>
      <c r="ORE1" s="110"/>
      <c r="ORF1" s="110"/>
      <c r="ORG1" s="110"/>
      <c r="ORH1" s="110"/>
      <c r="ORI1" s="110"/>
      <c r="ORJ1" s="110"/>
      <c r="ORK1" s="110"/>
      <c r="ORL1" s="110"/>
      <c r="ORM1" s="110"/>
      <c r="ORN1" s="110"/>
      <c r="ORO1" s="110"/>
      <c r="ORP1" s="110"/>
      <c r="ORQ1" s="110"/>
      <c r="ORR1" s="110"/>
      <c r="ORS1" s="110"/>
      <c r="ORT1" s="110"/>
      <c r="ORU1" s="110"/>
      <c r="ORV1" s="110"/>
      <c r="ORW1" s="110"/>
      <c r="ORX1" s="110"/>
      <c r="ORY1" s="110"/>
      <c r="ORZ1" s="110"/>
      <c r="OSA1" s="110"/>
      <c r="OSB1" s="110"/>
      <c r="OSC1" s="110"/>
      <c r="OSD1" s="110"/>
      <c r="OSE1" s="110"/>
      <c r="OSF1" s="110"/>
      <c r="OSG1" s="110"/>
      <c r="OSH1" s="110"/>
      <c r="OSI1" s="110"/>
      <c r="OSJ1" s="110"/>
      <c r="OSK1" s="110"/>
      <c r="OSL1" s="110"/>
      <c r="OSM1" s="110"/>
      <c r="OSN1" s="110"/>
      <c r="OSO1" s="110"/>
      <c r="OSP1" s="110"/>
      <c r="OSQ1" s="110"/>
      <c r="OSR1" s="110"/>
      <c r="OSS1" s="110"/>
      <c r="OST1" s="110"/>
      <c r="OSU1" s="110"/>
      <c r="OSV1" s="110"/>
      <c r="OSW1" s="110"/>
      <c r="OSX1" s="110"/>
      <c r="OSY1" s="110"/>
      <c r="OSZ1" s="110"/>
      <c r="OTA1" s="110"/>
      <c r="OTB1" s="110"/>
      <c r="OTC1" s="110"/>
      <c r="OTD1" s="110"/>
      <c r="OTE1" s="110"/>
      <c r="OTF1" s="110"/>
      <c r="OTG1" s="110"/>
      <c r="OTH1" s="110"/>
      <c r="OTI1" s="110"/>
      <c r="OTJ1" s="110"/>
      <c r="OTK1" s="110"/>
      <c r="OTL1" s="110"/>
      <c r="OTM1" s="110"/>
      <c r="OTN1" s="110"/>
      <c r="OTO1" s="110"/>
      <c r="OTP1" s="110"/>
      <c r="OTQ1" s="110"/>
      <c r="OTR1" s="110"/>
      <c r="OTS1" s="110"/>
      <c r="OTT1" s="110"/>
      <c r="OTU1" s="110"/>
      <c r="OTV1" s="110"/>
      <c r="OTW1" s="110"/>
      <c r="OTX1" s="110"/>
      <c r="OTY1" s="110"/>
      <c r="OTZ1" s="110"/>
      <c r="OUA1" s="110"/>
      <c r="OUB1" s="110"/>
      <c r="OUC1" s="110"/>
      <c r="OUD1" s="110"/>
      <c r="OUE1" s="110"/>
      <c r="OUF1" s="110"/>
      <c r="OUG1" s="110"/>
      <c r="OUH1" s="110"/>
      <c r="OUI1" s="110"/>
      <c r="OUJ1" s="110"/>
      <c r="OUK1" s="110"/>
      <c r="OUL1" s="110"/>
      <c r="OUM1" s="110"/>
      <c r="OUN1" s="110"/>
      <c r="OUO1" s="110"/>
      <c r="OUP1" s="110"/>
      <c r="OUQ1" s="110"/>
      <c r="OUR1" s="110"/>
      <c r="OUS1" s="110"/>
      <c r="OUT1" s="110"/>
      <c r="OUU1" s="110"/>
      <c r="OUV1" s="110"/>
      <c r="OUW1" s="110"/>
      <c r="OUX1" s="110"/>
      <c r="OUY1" s="110"/>
      <c r="OUZ1" s="110"/>
      <c r="OVA1" s="110"/>
      <c r="OVB1" s="110"/>
      <c r="OVC1" s="110"/>
      <c r="OVD1" s="110"/>
      <c r="OVE1" s="110"/>
      <c r="OVF1" s="110"/>
      <c r="OVG1" s="110"/>
      <c r="OVH1" s="110"/>
      <c r="OVI1" s="110"/>
      <c r="OVJ1" s="110"/>
      <c r="OVK1" s="110"/>
      <c r="OVL1" s="110"/>
      <c r="OVM1" s="110"/>
      <c r="OVN1" s="110"/>
      <c r="OVO1" s="110"/>
      <c r="OVP1" s="110"/>
      <c r="OVQ1" s="110"/>
      <c r="OVR1" s="110"/>
      <c r="OVS1" s="110"/>
      <c r="OVT1" s="110"/>
      <c r="OVU1" s="110"/>
      <c r="OVV1" s="110"/>
      <c r="OVW1" s="110"/>
      <c r="OVX1" s="110"/>
      <c r="OVY1" s="110"/>
      <c r="OVZ1" s="110"/>
      <c r="OWA1" s="110"/>
      <c r="OWB1" s="110"/>
      <c r="OWC1" s="110"/>
      <c r="OWD1" s="110"/>
      <c r="OWE1" s="110"/>
      <c r="OWF1" s="110"/>
      <c r="OWG1" s="110"/>
      <c r="OWH1" s="110"/>
      <c r="OWI1" s="110"/>
      <c r="OWJ1" s="110"/>
      <c r="OWK1" s="110"/>
      <c r="OWL1" s="110"/>
      <c r="OWM1" s="110"/>
      <c r="OWN1" s="110"/>
      <c r="OWO1" s="110"/>
      <c r="OWP1" s="110"/>
      <c r="OWQ1" s="110"/>
      <c r="OWR1" s="110"/>
      <c r="OWS1" s="110"/>
      <c r="OWT1" s="110"/>
      <c r="OWU1" s="110"/>
      <c r="OWV1" s="110"/>
      <c r="OWW1" s="110"/>
      <c r="OWX1" s="110"/>
      <c r="OWY1" s="110"/>
      <c r="OWZ1" s="110"/>
      <c r="OXA1" s="110"/>
      <c r="OXB1" s="110"/>
      <c r="OXC1" s="110"/>
      <c r="OXD1" s="110"/>
      <c r="OXE1" s="110"/>
      <c r="OXF1" s="110"/>
      <c r="OXG1" s="110"/>
      <c r="OXH1" s="110"/>
      <c r="OXI1" s="110"/>
      <c r="OXJ1" s="110"/>
      <c r="OXK1" s="110"/>
      <c r="OXL1" s="110"/>
      <c r="OXM1" s="110"/>
      <c r="OXN1" s="110"/>
      <c r="OXO1" s="110"/>
      <c r="OXP1" s="110"/>
      <c r="OXQ1" s="110"/>
      <c r="OXR1" s="110"/>
      <c r="OXS1" s="110"/>
      <c r="OXT1" s="110"/>
      <c r="OXU1" s="110"/>
      <c r="OXV1" s="110"/>
      <c r="OXW1" s="110"/>
      <c r="OXX1" s="110"/>
      <c r="OXY1" s="110"/>
      <c r="OXZ1" s="110"/>
      <c r="OYA1" s="110"/>
      <c r="OYB1" s="110"/>
      <c r="OYC1" s="110"/>
      <c r="OYD1" s="110"/>
      <c r="OYE1" s="110"/>
      <c r="OYF1" s="110"/>
      <c r="OYG1" s="110"/>
      <c r="OYH1" s="110"/>
      <c r="OYI1" s="110"/>
      <c r="OYJ1" s="110"/>
      <c r="OYK1" s="110"/>
      <c r="OYL1" s="110"/>
      <c r="OYM1" s="110"/>
      <c r="OYN1" s="110"/>
      <c r="OYO1" s="110"/>
      <c r="OYP1" s="110"/>
      <c r="OYQ1" s="110"/>
      <c r="OYR1" s="110"/>
      <c r="OYS1" s="110"/>
      <c r="OYT1" s="110"/>
      <c r="OYU1" s="110"/>
      <c r="OYV1" s="110"/>
      <c r="OYW1" s="110"/>
      <c r="OYX1" s="110"/>
      <c r="OYY1" s="110"/>
      <c r="OYZ1" s="110"/>
      <c r="OZA1" s="110"/>
      <c r="OZB1" s="110"/>
      <c r="OZC1" s="110"/>
      <c r="OZD1" s="110"/>
      <c r="OZE1" s="110"/>
      <c r="OZF1" s="110"/>
      <c r="OZG1" s="110"/>
      <c r="OZH1" s="110"/>
      <c r="OZI1" s="110"/>
      <c r="OZJ1" s="110"/>
      <c r="OZK1" s="110"/>
      <c r="OZL1" s="110"/>
      <c r="OZM1" s="110"/>
      <c r="OZN1" s="110"/>
      <c r="OZO1" s="110"/>
      <c r="OZP1" s="110"/>
      <c r="OZQ1" s="110"/>
      <c r="OZR1" s="110"/>
      <c r="OZS1" s="110"/>
      <c r="OZT1" s="110"/>
      <c r="OZU1" s="110"/>
      <c r="OZV1" s="110"/>
      <c r="OZW1" s="110"/>
      <c r="OZX1" s="110"/>
      <c r="OZY1" s="110"/>
      <c r="OZZ1" s="110"/>
      <c r="PAA1" s="110"/>
      <c r="PAB1" s="110"/>
      <c r="PAC1" s="110"/>
      <c r="PAD1" s="110"/>
      <c r="PAE1" s="110"/>
      <c r="PAF1" s="110"/>
      <c r="PAG1" s="110"/>
      <c r="PAH1" s="110"/>
      <c r="PAI1" s="110"/>
      <c r="PAJ1" s="110"/>
      <c r="PAK1" s="110"/>
      <c r="PAL1" s="110"/>
      <c r="PAM1" s="110"/>
      <c r="PAN1" s="110"/>
      <c r="PAO1" s="110"/>
      <c r="PAP1" s="110"/>
      <c r="PAQ1" s="110"/>
      <c r="PAR1" s="110"/>
      <c r="PAS1" s="110"/>
      <c r="PAT1" s="110"/>
      <c r="PAU1" s="110"/>
      <c r="PAV1" s="110"/>
      <c r="PAW1" s="110"/>
      <c r="PAX1" s="110"/>
      <c r="PAY1" s="110"/>
      <c r="PAZ1" s="110"/>
      <c r="PBA1" s="110"/>
      <c r="PBB1" s="110"/>
      <c r="PBC1" s="110"/>
      <c r="PBD1" s="110"/>
      <c r="PBE1" s="110"/>
      <c r="PBF1" s="110"/>
      <c r="PBG1" s="110"/>
      <c r="PBH1" s="110"/>
      <c r="PBI1" s="110"/>
      <c r="PBJ1" s="110"/>
      <c r="PBK1" s="110"/>
      <c r="PBL1" s="110"/>
      <c r="PBM1" s="110"/>
      <c r="PBN1" s="110"/>
      <c r="PBO1" s="110"/>
      <c r="PBP1" s="110"/>
      <c r="PBQ1" s="110"/>
      <c r="PBR1" s="110"/>
      <c r="PBS1" s="110"/>
      <c r="PBT1" s="110"/>
      <c r="PBU1" s="110"/>
      <c r="PBV1" s="110"/>
      <c r="PBW1" s="110"/>
      <c r="PBX1" s="110"/>
      <c r="PBY1" s="110"/>
      <c r="PBZ1" s="110"/>
      <c r="PCA1" s="110"/>
      <c r="PCB1" s="110"/>
      <c r="PCC1" s="110"/>
      <c r="PCD1" s="110"/>
      <c r="PCE1" s="110"/>
      <c r="PCF1" s="110"/>
      <c r="PCG1" s="110"/>
      <c r="PCH1" s="110"/>
      <c r="PCI1" s="110"/>
      <c r="PCJ1" s="110"/>
      <c r="PCK1" s="110"/>
      <c r="PCL1" s="110"/>
      <c r="PCM1" s="110"/>
      <c r="PCN1" s="110"/>
      <c r="PCO1" s="110"/>
      <c r="PCP1" s="110"/>
      <c r="PCQ1" s="110"/>
      <c r="PCR1" s="110"/>
      <c r="PCS1" s="110"/>
      <c r="PCT1" s="110"/>
      <c r="PCU1" s="110"/>
      <c r="PCV1" s="110"/>
      <c r="PCW1" s="110"/>
      <c r="PCX1" s="110"/>
      <c r="PCY1" s="110"/>
      <c r="PCZ1" s="110"/>
      <c r="PDA1" s="110"/>
      <c r="PDB1" s="110"/>
      <c r="PDC1" s="110"/>
      <c r="PDD1" s="110"/>
      <c r="PDE1" s="110"/>
      <c r="PDF1" s="110"/>
      <c r="PDG1" s="110"/>
      <c r="PDH1" s="110"/>
      <c r="PDI1" s="110"/>
      <c r="PDJ1" s="110"/>
      <c r="PDK1" s="110"/>
      <c r="PDL1" s="110"/>
      <c r="PDM1" s="110"/>
      <c r="PDN1" s="110"/>
      <c r="PDO1" s="110"/>
      <c r="PDP1" s="110"/>
      <c r="PDQ1" s="110"/>
      <c r="PDR1" s="110"/>
      <c r="PDS1" s="110"/>
      <c r="PDT1" s="110"/>
      <c r="PDU1" s="110"/>
      <c r="PDV1" s="110"/>
      <c r="PDW1" s="110"/>
      <c r="PDX1" s="110"/>
      <c r="PDY1" s="110"/>
      <c r="PDZ1" s="110"/>
      <c r="PEA1" s="110"/>
      <c r="PEB1" s="110"/>
      <c r="PEC1" s="110"/>
      <c r="PED1" s="110"/>
      <c r="PEE1" s="110"/>
      <c r="PEF1" s="110"/>
      <c r="PEG1" s="110"/>
      <c r="PEH1" s="110"/>
      <c r="PEI1" s="110"/>
      <c r="PEJ1" s="110"/>
      <c r="PEK1" s="110"/>
      <c r="PEL1" s="110"/>
      <c r="PEM1" s="110"/>
      <c r="PEN1" s="110"/>
      <c r="PEO1" s="110"/>
      <c r="PEP1" s="110"/>
      <c r="PEQ1" s="110"/>
      <c r="PER1" s="110"/>
      <c r="PES1" s="110"/>
      <c r="PET1" s="110"/>
      <c r="PEU1" s="110"/>
      <c r="PEV1" s="110"/>
      <c r="PEW1" s="110"/>
      <c r="PEX1" s="110"/>
      <c r="PEY1" s="110"/>
      <c r="PEZ1" s="110"/>
      <c r="PFA1" s="110"/>
      <c r="PFB1" s="110"/>
      <c r="PFC1" s="110"/>
      <c r="PFD1" s="110"/>
      <c r="PFE1" s="110"/>
      <c r="PFF1" s="110"/>
      <c r="PFG1" s="110"/>
      <c r="PFH1" s="110"/>
      <c r="PFI1" s="110"/>
      <c r="PFJ1" s="110"/>
      <c r="PFK1" s="110"/>
      <c r="PFL1" s="110"/>
      <c r="PFM1" s="110"/>
      <c r="PFN1" s="110"/>
      <c r="PFO1" s="110"/>
      <c r="PFP1" s="110"/>
      <c r="PFQ1" s="110"/>
      <c r="PFR1" s="110"/>
      <c r="PFS1" s="110"/>
      <c r="PFT1" s="110"/>
      <c r="PFU1" s="110"/>
      <c r="PFV1" s="110"/>
      <c r="PFW1" s="110"/>
      <c r="PFX1" s="110"/>
      <c r="PFY1" s="110"/>
      <c r="PFZ1" s="110"/>
      <c r="PGA1" s="110"/>
      <c r="PGB1" s="110"/>
      <c r="PGC1" s="110"/>
      <c r="PGD1" s="110"/>
      <c r="PGE1" s="110"/>
      <c r="PGF1" s="110"/>
      <c r="PGG1" s="110"/>
      <c r="PGH1" s="110"/>
      <c r="PGI1" s="110"/>
      <c r="PGJ1" s="110"/>
      <c r="PGK1" s="110"/>
      <c r="PGL1" s="110"/>
      <c r="PGM1" s="110"/>
      <c r="PGN1" s="110"/>
      <c r="PGO1" s="110"/>
      <c r="PGP1" s="110"/>
      <c r="PGQ1" s="110"/>
      <c r="PGR1" s="110"/>
      <c r="PGS1" s="110"/>
      <c r="PGT1" s="110"/>
      <c r="PGU1" s="110"/>
      <c r="PGV1" s="110"/>
      <c r="PGW1" s="110"/>
      <c r="PGX1" s="110"/>
      <c r="PGY1" s="110"/>
      <c r="PGZ1" s="110"/>
      <c r="PHA1" s="110"/>
      <c r="PHB1" s="110"/>
      <c r="PHC1" s="110"/>
      <c r="PHD1" s="110"/>
      <c r="PHE1" s="110"/>
      <c r="PHF1" s="110"/>
      <c r="PHG1" s="110"/>
      <c r="PHH1" s="110"/>
      <c r="PHI1" s="110"/>
      <c r="PHJ1" s="110"/>
      <c r="PHK1" s="110"/>
      <c r="PHL1" s="110"/>
      <c r="PHM1" s="110"/>
      <c r="PHN1" s="110"/>
      <c r="PHO1" s="110"/>
      <c r="PHP1" s="110"/>
      <c r="PHQ1" s="110"/>
      <c r="PHR1" s="110"/>
      <c r="PHS1" s="110"/>
      <c r="PHT1" s="110"/>
      <c r="PHU1" s="110"/>
      <c r="PHV1" s="110"/>
      <c r="PHW1" s="110"/>
      <c r="PHX1" s="110"/>
      <c r="PHY1" s="110"/>
      <c r="PHZ1" s="110"/>
      <c r="PIA1" s="110"/>
      <c r="PIB1" s="110"/>
      <c r="PIC1" s="110"/>
      <c r="PID1" s="110"/>
      <c r="PIE1" s="110"/>
      <c r="PIF1" s="110"/>
      <c r="PIG1" s="110"/>
      <c r="PIH1" s="110"/>
      <c r="PII1" s="110"/>
      <c r="PIJ1" s="110"/>
      <c r="PIK1" s="110"/>
      <c r="PIL1" s="110"/>
      <c r="PIM1" s="110"/>
      <c r="PIN1" s="110"/>
      <c r="PIO1" s="110"/>
      <c r="PIP1" s="110"/>
      <c r="PIQ1" s="110"/>
      <c r="PIR1" s="110"/>
      <c r="PIS1" s="110"/>
      <c r="PIT1" s="110"/>
      <c r="PIU1" s="110"/>
      <c r="PIV1" s="110"/>
      <c r="PIW1" s="110"/>
      <c r="PIX1" s="110"/>
      <c r="PIY1" s="110"/>
      <c r="PIZ1" s="110"/>
      <c r="PJA1" s="110"/>
      <c r="PJB1" s="110"/>
      <c r="PJC1" s="110"/>
      <c r="PJD1" s="110"/>
      <c r="PJE1" s="110"/>
      <c r="PJF1" s="110"/>
      <c r="PJG1" s="110"/>
      <c r="PJH1" s="110"/>
      <c r="PJI1" s="110"/>
      <c r="PJJ1" s="110"/>
      <c r="PJK1" s="110"/>
      <c r="PJL1" s="110"/>
      <c r="PJM1" s="110"/>
      <c r="PJN1" s="110"/>
      <c r="PJO1" s="110"/>
      <c r="PJP1" s="110"/>
      <c r="PJQ1" s="110"/>
      <c r="PJR1" s="110"/>
      <c r="PJS1" s="110"/>
      <c r="PJT1" s="110"/>
      <c r="PJU1" s="110"/>
      <c r="PJV1" s="110"/>
      <c r="PJW1" s="110"/>
      <c r="PJX1" s="110"/>
      <c r="PJY1" s="110"/>
      <c r="PJZ1" s="110"/>
      <c r="PKA1" s="110"/>
      <c r="PKB1" s="110"/>
      <c r="PKC1" s="110"/>
      <c r="PKD1" s="110"/>
      <c r="PKE1" s="110"/>
      <c r="PKF1" s="110"/>
      <c r="PKG1" s="110"/>
      <c r="PKH1" s="110"/>
      <c r="PKI1" s="110"/>
      <c r="PKJ1" s="110"/>
      <c r="PKK1" s="110"/>
      <c r="PKL1" s="110"/>
      <c r="PKM1" s="110"/>
      <c r="PKN1" s="110"/>
      <c r="PKO1" s="110"/>
      <c r="PKP1" s="110"/>
      <c r="PKQ1" s="110"/>
      <c r="PKR1" s="110"/>
      <c r="PKS1" s="110"/>
      <c r="PKT1" s="110"/>
      <c r="PKU1" s="110"/>
      <c r="PKV1" s="110"/>
      <c r="PKW1" s="110"/>
      <c r="PKX1" s="110"/>
      <c r="PKY1" s="110"/>
      <c r="PKZ1" s="110"/>
      <c r="PLA1" s="110"/>
      <c r="PLB1" s="110"/>
      <c r="PLC1" s="110"/>
      <c r="PLD1" s="110"/>
      <c r="PLE1" s="110"/>
      <c r="PLF1" s="110"/>
      <c r="PLG1" s="110"/>
      <c r="PLH1" s="110"/>
      <c r="PLI1" s="110"/>
      <c r="PLJ1" s="110"/>
      <c r="PLK1" s="110"/>
      <c r="PLL1" s="110"/>
      <c r="PLM1" s="110"/>
      <c r="PLN1" s="110"/>
      <c r="PLO1" s="110"/>
      <c r="PLP1" s="110"/>
      <c r="PLQ1" s="110"/>
      <c r="PLR1" s="110"/>
      <c r="PLS1" s="110"/>
      <c r="PLT1" s="110"/>
      <c r="PLU1" s="110"/>
      <c r="PLV1" s="110"/>
      <c r="PLW1" s="110"/>
      <c r="PLX1" s="110"/>
      <c r="PLY1" s="110"/>
      <c r="PLZ1" s="110"/>
      <c r="PMA1" s="110"/>
      <c r="PMB1" s="110"/>
      <c r="PMC1" s="110"/>
      <c r="PMD1" s="110"/>
      <c r="PME1" s="110"/>
      <c r="PMF1" s="110"/>
      <c r="PMG1" s="110"/>
      <c r="PMH1" s="110"/>
      <c r="PMI1" s="110"/>
      <c r="PMJ1" s="110"/>
      <c r="PMK1" s="110"/>
      <c r="PML1" s="110"/>
      <c r="PMM1" s="110"/>
      <c r="PMN1" s="110"/>
      <c r="PMO1" s="110"/>
      <c r="PMP1" s="110"/>
      <c r="PMQ1" s="110"/>
      <c r="PMR1" s="110"/>
      <c r="PMS1" s="110"/>
      <c r="PMT1" s="110"/>
      <c r="PMU1" s="110"/>
      <c r="PMV1" s="110"/>
      <c r="PMW1" s="110"/>
      <c r="PMX1" s="110"/>
      <c r="PMY1" s="110"/>
      <c r="PMZ1" s="110"/>
      <c r="PNA1" s="110"/>
      <c r="PNB1" s="110"/>
      <c r="PNC1" s="110"/>
      <c r="PND1" s="110"/>
      <c r="PNE1" s="110"/>
      <c r="PNF1" s="110"/>
      <c r="PNG1" s="110"/>
      <c r="PNH1" s="110"/>
      <c r="PNI1" s="110"/>
      <c r="PNJ1" s="110"/>
      <c r="PNK1" s="110"/>
      <c r="PNL1" s="110"/>
      <c r="PNM1" s="110"/>
      <c r="PNN1" s="110"/>
      <c r="PNO1" s="110"/>
      <c r="PNP1" s="110"/>
      <c r="PNQ1" s="110"/>
      <c r="PNR1" s="110"/>
      <c r="PNS1" s="110"/>
      <c r="PNT1" s="110"/>
      <c r="PNU1" s="110"/>
      <c r="PNV1" s="110"/>
      <c r="PNW1" s="110"/>
      <c r="PNX1" s="110"/>
      <c r="PNY1" s="110"/>
      <c r="PNZ1" s="110"/>
      <c r="POA1" s="110"/>
      <c r="POB1" s="110"/>
      <c r="POC1" s="110"/>
      <c r="POD1" s="110"/>
      <c r="POE1" s="110"/>
      <c r="POF1" s="110"/>
      <c r="POG1" s="110"/>
      <c r="POH1" s="110"/>
      <c r="POI1" s="110"/>
      <c r="POJ1" s="110"/>
      <c r="POK1" s="110"/>
      <c r="POL1" s="110"/>
      <c r="POM1" s="110"/>
      <c r="PON1" s="110"/>
      <c r="POO1" s="110"/>
      <c r="POP1" s="110"/>
      <c r="POQ1" s="110"/>
      <c r="POR1" s="110"/>
      <c r="POS1" s="110"/>
      <c r="POT1" s="110"/>
      <c r="POU1" s="110"/>
      <c r="POV1" s="110"/>
      <c r="POW1" s="110"/>
      <c r="POX1" s="110"/>
      <c r="POY1" s="110"/>
      <c r="POZ1" s="110"/>
      <c r="PPA1" s="110"/>
      <c r="PPB1" s="110"/>
      <c r="PPC1" s="110"/>
      <c r="PPD1" s="110"/>
      <c r="PPE1" s="110"/>
      <c r="PPF1" s="110"/>
      <c r="PPG1" s="110"/>
      <c r="PPH1" s="110"/>
      <c r="PPI1" s="110"/>
      <c r="PPJ1" s="110"/>
      <c r="PPK1" s="110"/>
      <c r="PPL1" s="110"/>
      <c r="PPM1" s="110"/>
      <c r="PPN1" s="110"/>
      <c r="PPO1" s="110"/>
      <c r="PPP1" s="110"/>
      <c r="PPQ1" s="110"/>
      <c r="PPR1" s="110"/>
      <c r="PPS1" s="110"/>
      <c r="PPT1" s="110"/>
      <c r="PPU1" s="110"/>
      <c r="PPV1" s="110"/>
      <c r="PPW1" s="110"/>
      <c r="PPX1" s="110"/>
      <c r="PPY1" s="110"/>
      <c r="PPZ1" s="110"/>
      <c r="PQA1" s="110"/>
      <c r="PQB1" s="110"/>
      <c r="PQC1" s="110"/>
      <c r="PQD1" s="110"/>
      <c r="PQE1" s="110"/>
      <c r="PQF1" s="110"/>
      <c r="PQG1" s="110"/>
      <c r="PQH1" s="110"/>
      <c r="PQI1" s="110"/>
      <c r="PQJ1" s="110"/>
      <c r="PQK1" s="110"/>
      <c r="PQL1" s="110"/>
      <c r="PQM1" s="110"/>
      <c r="PQN1" s="110"/>
      <c r="PQO1" s="110"/>
      <c r="PQP1" s="110"/>
      <c r="PQQ1" s="110"/>
      <c r="PQR1" s="110"/>
      <c r="PQS1" s="110"/>
      <c r="PQT1" s="110"/>
      <c r="PQU1" s="110"/>
      <c r="PQV1" s="110"/>
      <c r="PQW1" s="110"/>
      <c r="PQX1" s="110"/>
      <c r="PQY1" s="110"/>
      <c r="PQZ1" s="110"/>
      <c r="PRA1" s="110"/>
      <c r="PRB1" s="110"/>
      <c r="PRC1" s="110"/>
      <c r="PRD1" s="110"/>
      <c r="PRE1" s="110"/>
      <c r="PRF1" s="110"/>
      <c r="PRG1" s="110"/>
      <c r="PRH1" s="110"/>
      <c r="PRI1" s="110"/>
      <c r="PRJ1" s="110"/>
      <c r="PRK1" s="110"/>
      <c r="PRL1" s="110"/>
      <c r="PRM1" s="110"/>
      <c r="PRN1" s="110"/>
      <c r="PRO1" s="110"/>
      <c r="PRP1" s="110"/>
      <c r="PRQ1" s="110"/>
      <c r="PRR1" s="110"/>
      <c r="PRS1" s="110"/>
      <c r="PRT1" s="110"/>
      <c r="PRU1" s="110"/>
      <c r="PRV1" s="110"/>
      <c r="PRW1" s="110"/>
      <c r="PRX1" s="110"/>
      <c r="PRY1" s="110"/>
      <c r="PRZ1" s="110"/>
      <c r="PSA1" s="110"/>
      <c r="PSB1" s="110"/>
      <c r="PSC1" s="110"/>
      <c r="PSD1" s="110"/>
      <c r="PSE1" s="110"/>
      <c r="PSF1" s="110"/>
      <c r="PSG1" s="110"/>
      <c r="PSH1" s="110"/>
      <c r="PSI1" s="110"/>
      <c r="PSJ1" s="110"/>
      <c r="PSK1" s="110"/>
      <c r="PSL1" s="110"/>
      <c r="PSM1" s="110"/>
      <c r="PSN1" s="110"/>
      <c r="PSO1" s="110"/>
      <c r="PSP1" s="110"/>
      <c r="PSQ1" s="110"/>
      <c r="PSR1" s="110"/>
      <c r="PSS1" s="110"/>
      <c r="PST1" s="110"/>
      <c r="PSU1" s="110"/>
      <c r="PSV1" s="110"/>
      <c r="PSW1" s="110"/>
      <c r="PSX1" s="110"/>
      <c r="PSY1" s="110"/>
      <c r="PSZ1" s="110"/>
      <c r="PTA1" s="110"/>
      <c r="PTB1" s="110"/>
      <c r="PTC1" s="110"/>
      <c r="PTD1" s="110"/>
      <c r="PTE1" s="110"/>
      <c r="PTF1" s="110"/>
      <c r="PTG1" s="110"/>
      <c r="PTH1" s="110"/>
      <c r="PTI1" s="110"/>
      <c r="PTJ1" s="110"/>
      <c r="PTK1" s="110"/>
      <c r="PTL1" s="110"/>
      <c r="PTM1" s="110"/>
      <c r="PTN1" s="110"/>
      <c r="PTO1" s="110"/>
      <c r="PTP1" s="110"/>
      <c r="PTQ1" s="110"/>
      <c r="PTR1" s="110"/>
      <c r="PTS1" s="110"/>
      <c r="PTT1" s="110"/>
      <c r="PTU1" s="110"/>
      <c r="PTV1" s="110"/>
      <c r="PTW1" s="110"/>
      <c r="PTX1" s="110"/>
      <c r="PTY1" s="110"/>
      <c r="PTZ1" s="110"/>
      <c r="PUA1" s="110"/>
      <c r="PUB1" s="110"/>
      <c r="PUC1" s="110"/>
      <c r="PUD1" s="110"/>
      <c r="PUE1" s="110"/>
      <c r="PUF1" s="110"/>
      <c r="PUG1" s="110"/>
      <c r="PUH1" s="110"/>
      <c r="PUI1" s="110"/>
      <c r="PUJ1" s="110"/>
      <c r="PUK1" s="110"/>
      <c r="PUL1" s="110"/>
      <c r="PUM1" s="110"/>
      <c r="PUN1" s="110"/>
      <c r="PUO1" s="110"/>
      <c r="PUP1" s="110"/>
      <c r="PUQ1" s="110"/>
      <c r="PUR1" s="110"/>
      <c r="PUS1" s="110"/>
      <c r="PUT1" s="110"/>
      <c r="PUU1" s="110"/>
      <c r="PUV1" s="110"/>
      <c r="PUW1" s="110"/>
      <c r="PUX1" s="110"/>
      <c r="PUY1" s="110"/>
      <c r="PUZ1" s="110"/>
      <c r="PVA1" s="110"/>
      <c r="PVB1" s="110"/>
      <c r="PVC1" s="110"/>
      <c r="PVD1" s="110"/>
      <c r="PVE1" s="110"/>
      <c r="PVF1" s="110"/>
      <c r="PVG1" s="110"/>
      <c r="PVH1" s="110"/>
      <c r="PVI1" s="110"/>
      <c r="PVJ1" s="110"/>
      <c r="PVK1" s="110"/>
      <c r="PVL1" s="110"/>
      <c r="PVM1" s="110"/>
      <c r="PVN1" s="110"/>
      <c r="PVO1" s="110"/>
      <c r="PVP1" s="110"/>
      <c r="PVQ1" s="110"/>
      <c r="PVR1" s="110"/>
      <c r="PVS1" s="110"/>
      <c r="PVT1" s="110"/>
      <c r="PVU1" s="110"/>
      <c r="PVV1" s="110"/>
      <c r="PVW1" s="110"/>
      <c r="PVX1" s="110"/>
      <c r="PVY1" s="110"/>
      <c r="PVZ1" s="110"/>
      <c r="PWA1" s="110"/>
      <c r="PWB1" s="110"/>
      <c r="PWC1" s="110"/>
      <c r="PWD1" s="110"/>
      <c r="PWE1" s="110"/>
      <c r="PWF1" s="110"/>
      <c r="PWG1" s="110"/>
      <c r="PWH1" s="110"/>
      <c r="PWI1" s="110"/>
      <c r="PWJ1" s="110"/>
      <c r="PWK1" s="110"/>
      <c r="PWL1" s="110"/>
      <c r="PWM1" s="110"/>
      <c r="PWN1" s="110"/>
      <c r="PWO1" s="110"/>
      <c r="PWP1" s="110"/>
      <c r="PWQ1" s="110"/>
      <c r="PWR1" s="110"/>
      <c r="PWS1" s="110"/>
      <c r="PWT1" s="110"/>
      <c r="PWU1" s="110"/>
      <c r="PWV1" s="110"/>
      <c r="PWW1" s="110"/>
      <c r="PWX1" s="110"/>
      <c r="PWY1" s="110"/>
      <c r="PWZ1" s="110"/>
      <c r="PXA1" s="110"/>
      <c r="PXB1" s="110"/>
      <c r="PXC1" s="110"/>
      <c r="PXD1" s="110"/>
      <c r="PXE1" s="110"/>
      <c r="PXF1" s="110"/>
      <c r="PXG1" s="110"/>
      <c r="PXH1" s="110"/>
      <c r="PXI1" s="110"/>
      <c r="PXJ1" s="110"/>
      <c r="PXK1" s="110"/>
      <c r="PXL1" s="110"/>
      <c r="PXM1" s="110"/>
      <c r="PXN1" s="110"/>
      <c r="PXO1" s="110"/>
      <c r="PXP1" s="110"/>
      <c r="PXQ1" s="110"/>
      <c r="PXR1" s="110"/>
      <c r="PXS1" s="110"/>
      <c r="PXT1" s="110"/>
      <c r="PXU1" s="110"/>
      <c r="PXV1" s="110"/>
      <c r="PXW1" s="110"/>
      <c r="PXX1" s="110"/>
      <c r="PXY1" s="110"/>
      <c r="PXZ1" s="110"/>
      <c r="PYA1" s="110"/>
      <c r="PYB1" s="110"/>
      <c r="PYC1" s="110"/>
      <c r="PYD1" s="110"/>
      <c r="PYE1" s="110"/>
      <c r="PYF1" s="110"/>
      <c r="PYG1" s="110"/>
      <c r="PYH1" s="110"/>
      <c r="PYI1" s="110"/>
      <c r="PYJ1" s="110"/>
      <c r="PYK1" s="110"/>
      <c r="PYL1" s="110"/>
      <c r="PYM1" s="110"/>
      <c r="PYN1" s="110"/>
      <c r="PYO1" s="110"/>
      <c r="PYP1" s="110"/>
      <c r="PYQ1" s="110"/>
      <c r="PYR1" s="110"/>
      <c r="PYS1" s="110"/>
      <c r="PYT1" s="110"/>
      <c r="PYU1" s="110"/>
      <c r="PYV1" s="110"/>
      <c r="PYW1" s="110"/>
      <c r="PYX1" s="110"/>
      <c r="PYY1" s="110"/>
      <c r="PYZ1" s="110"/>
      <c r="PZA1" s="110"/>
      <c r="PZB1" s="110"/>
      <c r="PZC1" s="110"/>
      <c r="PZD1" s="110"/>
      <c r="PZE1" s="110"/>
      <c r="PZF1" s="110"/>
      <c r="PZG1" s="110"/>
      <c r="PZH1" s="110"/>
      <c r="PZI1" s="110"/>
      <c r="PZJ1" s="110"/>
      <c r="PZK1" s="110"/>
      <c r="PZL1" s="110"/>
      <c r="PZM1" s="110"/>
      <c r="PZN1" s="110"/>
      <c r="PZO1" s="110"/>
      <c r="PZP1" s="110"/>
      <c r="PZQ1" s="110"/>
      <c r="PZR1" s="110"/>
      <c r="PZS1" s="110"/>
      <c r="PZT1" s="110"/>
      <c r="PZU1" s="110"/>
      <c r="PZV1" s="110"/>
      <c r="PZW1" s="110"/>
      <c r="PZX1" s="110"/>
      <c r="PZY1" s="110"/>
      <c r="PZZ1" s="110"/>
      <c r="QAA1" s="110"/>
      <c r="QAB1" s="110"/>
      <c r="QAC1" s="110"/>
      <c r="QAD1" s="110"/>
      <c r="QAE1" s="110"/>
      <c r="QAF1" s="110"/>
      <c r="QAG1" s="110"/>
      <c r="QAH1" s="110"/>
      <c r="QAI1" s="110"/>
      <c r="QAJ1" s="110"/>
      <c r="QAK1" s="110"/>
      <c r="QAL1" s="110"/>
      <c r="QAM1" s="110"/>
      <c r="QAN1" s="110"/>
      <c r="QAO1" s="110"/>
      <c r="QAP1" s="110"/>
      <c r="QAQ1" s="110"/>
      <c r="QAR1" s="110"/>
      <c r="QAS1" s="110"/>
      <c r="QAT1" s="110"/>
      <c r="QAU1" s="110"/>
      <c r="QAV1" s="110"/>
      <c r="QAW1" s="110"/>
      <c r="QAX1" s="110"/>
      <c r="QAY1" s="110"/>
      <c r="QAZ1" s="110"/>
      <c r="QBA1" s="110"/>
      <c r="QBB1" s="110"/>
      <c r="QBC1" s="110"/>
      <c r="QBD1" s="110"/>
      <c r="QBE1" s="110"/>
      <c r="QBF1" s="110"/>
      <c r="QBG1" s="110"/>
      <c r="QBH1" s="110"/>
      <c r="QBI1" s="110"/>
      <c r="QBJ1" s="110"/>
      <c r="QBK1" s="110"/>
      <c r="QBL1" s="110"/>
      <c r="QBM1" s="110"/>
      <c r="QBN1" s="110"/>
      <c r="QBO1" s="110"/>
      <c r="QBP1" s="110"/>
      <c r="QBQ1" s="110"/>
      <c r="QBR1" s="110"/>
      <c r="QBS1" s="110"/>
      <c r="QBT1" s="110"/>
      <c r="QBU1" s="110"/>
      <c r="QBV1" s="110"/>
      <c r="QBW1" s="110"/>
      <c r="QBX1" s="110"/>
      <c r="QBY1" s="110"/>
      <c r="QBZ1" s="110"/>
      <c r="QCA1" s="110"/>
      <c r="QCB1" s="110"/>
      <c r="QCC1" s="110"/>
      <c r="QCD1" s="110"/>
      <c r="QCE1" s="110"/>
      <c r="QCF1" s="110"/>
      <c r="QCG1" s="110"/>
      <c r="QCH1" s="110"/>
      <c r="QCI1" s="110"/>
      <c r="QCJ1" s="110"/>
      <c r="QCK1" s="110"/>
      <c r="QCL1" s="110"/>
      <c r="QCM1" s="110"/>
      <c r="QCN1" s="110"/>
      <c r="QCO1" s="110"/>
      <c r="QCP1" s="110"/>
      <c r="QCQ1" s="110"/>
      <c r="QCR1" s="110"/>
      <c r="QCS1" s="110"/>
      <c r="QCT1" s="110"/>
      <c r="QCU1" s="110"/>
      <c r="QCV1" s="110"/>
      <c r="QCW1" s="110"/>
      <c r="QCX1" s="110"/>
      <c r="QCY1" s="110"/>
      <c r="QCZ1" s="110"/>
      <c r="QDA1" s="110"/>
      <c r="QDB1" s="110"/>
      <c r="QDC1" s="110"/>
      <c r="QDD1" s="110"/>
      <c r="QDE1" s="110"/>
      <c r="QDF1" s="110"/>
      <c r="QDG1" s="110"/>
      <c r="QDH1" s="110"/>
      <c r="QDI1" s="110"/>
      <c r="QDJ1" s="110"/>
      <c r="QDK1" s="110"/>
      <c r="QDL1" s="110"/>
      <c r="QDM1" s="110"/>
      <c r="QDN1" s="110"/>
      <c r="QDO1" s="110"/>
      <c r="QDP1" s="110"/>
      <c r="QDQ1" s="110"/>
      <c r="QDR1" s="110"/>
      <c r="QDS1" s="110"/>
      <c r="QDT1" s="110"/>
      <c r="QDU1" s="110"/>
      <c r="QDV1" s="110"/>
      <c r="QDW1" s="110"/>
      <c r="QDX1" s="110"/>
      <c r="QDY1" s="110"/>
      <c r="QDZ1" s="110"/>
      <c r="QEA1" s="110"/>
      <c r="QEB1" s="110"/>
      <c r="QEC1" s="110"/>
      <c r="QED1" s="110"/>
      <c r="QEE1" s="110"/>
      <c r="QEF1" s="110"/>
      <c r="QEG1" s="110"/>
      <c r="QEH1" s="110"/>
      <c r="QEI1" s="110"/>
      <c r="QEJ1" s="110"/>
      <c r="QEK1" s="110"/>
      <c r="QEL1" s="110"/>
      <c r="QEM1" s="110"/>
      <c r="QEN1" s="110"/>
      <c r="QEO1" s="110"/>
      <c r="QEP1" s="110"/>
      <c r="QEQ1" s="110"/>
      <c r="QER1" s="110"/>
      <c r="QES1" s="110"/>
      <c r="QET1" s="110"/>
      <c r="QEU1" s="110"/>
      <c r="QEV1" s="110"/>
      <c r="QEW1" s="110"/>
      <c r="QEX1" s="110"/>
      <c r="QEY1" s="110"/>
      <c r="QEZ1" s="110"/>
      <c r="QFA1" s="110"/>
      <c r="QFB1" s="110"/>
      <c r="QFC1" s="110"/>
      <c r="QFD1" s="110"/>
      <c r="QFE1" s="110"/>
      <c r="QFF1" s="110"/>
      <c r="QFG1" s="110"/>
      <c r="QFH1" s="110"/>
      <c r="QFI1" s="110"/>
      <c r="QFJ1" s="110"/>
      <c r="QFK1" s="110"/>
      <c r="QFL1" s="110"/>
      <c r="QFM1" s="110"/>
      <c r="QFN1" s="110"/>
      <c r="QFO1" s="110"/>
      <c r="QFP1" s="110"/>
      <c r="QFQ1" s="110"/>
      <c r="QFR1" s="110"/>
      <c r="QFS1" s="110"/>
      <c r="QFT1" s="110"/>
      <c r="QFU1" s="110"/>
      <c r="QFV1" s="110"/>
      <c r="QFW1" s="110"/>
      <c r="QFX1" s="110"/>
      <c r="QFY1" s="110"/>
      <c r="QFZ1" s="110"/>
      <c r="QGA1" s="110"/>
      <c r="QGB1" s="110"/>
      <c r="QGC1" s="110"/>
      <c r="QGD1" s="110"/>
      <c r="QGE1" s="110"/>
      <c r="QGF1" s="110"/>
      <c r="QGG1" s="110"/>
      <c r="QGH1" s="110"/>
      <c r="QGI1" s="110"/>
      <c r="QGJ1" s="110"/>
      <c r="QGK1" s="110"/>
      <c r="QGL1" s="110"/>
      <c r="QGM1" s="110"/>
      <c r="QGN1" s="110"/>
      <c r="QGO1" s="110"/>
      <c r="QGP1" s="110"/>
      <c r="QGQ1" s="110"/>
      <c r="QGR1" s="110"/>
      <c r="QGS1" s="110"/>
      <c r="QGT1" s="110"/>
      <c r="QGU1" s="110"/>
      <c r="QGV1" s="110"/>
      <c r="QGW1" s="110"/>
      <c r="QGX1" s="110"/>
      <c r="QGY1" s="110"/>
      <c r="QGZ1" s="110"/>
      <c r="QHA1" s="110"/>
      <c r="QHB1" s="110"/>
      <c r="QHC1" s="110"/>
      <c r="QHD1" s="110"/>
      <c r="QHE1" s="110"/>
      <c r="QHF1" s="110"/>
      <c r="QHG1" s="110"/>
      <c r="QHH1" s="110"/>
      <c r="QHI1" s="110"/>
      <c r="QHJ1" s="110"/>
      <c r="QHK1" s="110"/>
      <c r="QHL1" s="110"/>
      <c r="QHM1" s="110"/>
      <c r="QHN1" s="110"/>
      <c r="QHO1" s="110"/>
      <c r="QHP1" s="110"/>
      <c r="QHQ1" s="110"/>
      <c r="QHR1" s="110"/>
      <c r="QHS1" s="110"/>
      <c r="QHT1" s="110"/>
      <c r="QHU1" s="110"/>
      <c r="QHV1" s="110"/>
      <c r="QHW1" s="110"/>
      <c r="QHX1" s="110"/>
      <c r="QHY1" s="110"/>
      <c r="QHZ1" s="110"/>
      <c r="QIA1" s="110"/>
      <c r="QIB1" s="110"/>
      <c r="QIC1" s="110"/>
      <c r="QID1" s="110"/>
      <c r="QIE1" s="110"/>
      <c r="QIF1" s="110"/>
      <c r="QIG1" s="110"/>
      <c r="QIH1" s="110"/>
      <c r="QII1" s="110"/>
      <c r="QIJ1" s="110"/>
      <c r="QIK1" s="110"/>
      <c r="QIL1" s="110"/>
      <c r="QIM1" s="110"/>
      <c r="QIN1" s="110"/>
      <c r="QIO1" s="110"/>
      <c r="QIP1" s="110"/>
      <c r="QIQ1" s="110"/>
      <c r="QIR1" s="110"/>
      <c r="QIS1" s="110"/>
      <c r="QIT1" s="110"/>
      <c r="QIU1" s="110"/>
      <c r="QIV1" s="110"/>
      <c r="QIW1" s="110"/>
      <c r="QIX1" s="110"/>
      <c r="QIY1" s="110"/>
      <c r="QIZ1" s="110"/>
      <c r="QJA1" s="110"/>
      <c r="QJB1" s="110"/>
      <c r="QJC1" s="110"/>
      <c r="QJD1" s="110"/>
      <c r="QJE1" s="110"/>
      <c r="QJF1" s="110"/>
      <c r="QJG1" s="110"/>
      <c r="QJH1" s="110"/>
      <c r="QJI1" s="110"/>
      <c r="QJJ1" s="110"/>
      <c r="QJK1" s="110"/>
      <c r="QJL1" s="110"/>
      <c r="QJM1" s="110"/>
      <c r="QJN1" s="110"/>
      <c r="QJO1" s="110"/>
      <c r="QJP1" s="110"/>
      <c r="QJQ1" s="110"/>
      <c r="QJR1" s="110"/>
      <c r="QJS1" s="110"/>
      <c r="QJT1" s="110"/>
      <c r="QJU1" s="110"/>
      <c r="QJV1" s="110"/>
      <c r="QJW1" s="110"/>
      <c r="QJX1" s="110"/>
      <c r="QJY1" s="110"/>
      <c r="QJZ1" s="110"/>
      <c r="QKA1" s="110"/>
      <c r="QKB1" s="110"/>
      <c r="QKC1" s="110"/>
      <c r="QKD1" s="110"/>
      <c r="QKE1" s="110"/>
      <c r="QKF1" s="110"/>
      <c r="QKG1" s="110"/>
      <c r="QKH1" s="110"/>
      <c r="QKI1" s="110"/>
      <c r="QKJ1" s="110"/>
      <c r="QKK1" s="110"/>
      <c r="QKL1" s="110"/>
      <c r="QKM1" s="110"/>
      <c r="QKN1" s="110"/>
      <c r="QKO1" s="110"/>
      <c r="QKP1" s="110"/>
      <c r="QKQ1" s="110"/>
      <c r="QKR1" s="110"/>
      <c r="QKS1" s="110"/>
      <c r="QKT1" s="110"/>
      <c r="QKU1" s="110"/>
      <c r="QKV1" s="110"/>
      <c r="QKW1" s="110"/>
      <c r="QKX1" s="110"/>
      <c r="QKY1" s="110"/>
      <c r="QKZ1" s="110"/>
      <c r="QLA1" s="110"/>
      <c r="QLB1" s="110"/>
      <c r="QLC1" s="110"/>
      <c r="QLD1" s="110"/>
      <c r="QLE1" s="110"/>
      <c r="QLF1" s="110"/>
      <c r="QLG1" s="110"/>
      <c r="QLH1" s="110"/>
      <c r="QLI1" s="110"/>
      <c r="QLJ1" s="110"/>
      <c r="QLK1" s="110"/>
      <c r="QLL1" s="110"/>
      <c r="QLM1" s="110"/>
      <c r="QLN1" s="110"/>
      <c r="QLO1" s="110"/>
      <c r="QLP1" s="110"/>
      <c r="QLQ1" s="110"/>
      <c r="QLR1" s="110"/>
      <c r="QLS1" s="110"/>
      <c r="QLT1" s="110"/>
      <c r="QLU1" s="110"/>
      <c r="QLV1" s="110"/>
      <c r="QLW1" s="110"/>
      <c r="QLX1" s="110"/>
      <c r="QLY1" s="110"/>
      <c r="QLZ1" s="110"/>
      <c r="QMA1" s="110"/>
      <c r="QMB1" s="110"/>
      <c r="QMC1" s="110"/>
      <c r="QMD1" s="110"/>
      <c r="QME1" s="110"/>
      <c r="QMF1" s="110"/>
      <c r="QMG1" s="110"/>
      <c r="QMH1" s="110"/>
      <c r="QMI1" s="110"/>
      <c r="QMJ1" s="110"/>
      <c r="QMK1" s="110"/>
      <c r="QML1" s="110"/>
      <c r="QMM1" s="110"/>
      <c r="QMN1" s="110"/>
      <c r="QMO1" s="110"/>
      <c r="QMP1" s="110"/>
      <c r="QMQ1" s="110"/>
      <c r="QMR1" s="110"/>
      <c r="QMS1" s="110"/>
      <c r="QMT1" s="110"/>
      <c r="QMU1" s="110"/>
      <c r="QMV1" s="110"/>
      <c r="QMW1" s="110"/>
      <c r="QMX1" s="110"/>
      <c r="QMY1" s="110"/>
      <c r="QMZ1" s="110"/>
      <c r="QNA1" s="110"/>
      <c r="QNB1" s="110"/>
      <c r="QNC1" s="110"/>
      <c r="QND1" s="110"/>
      <c r="QNE1" s="110"/>
      <c r="QNF1" s="110"/>
      <c r="QNG1" s="110"/>
      <c r="QNH1" s="110"/>
      <c r="QNI1" s="110"/>
      <c r="QNJ1" s="110"/>
      <c r="QNK1" s="110"/>
      <c r="QNL1" s="110"/>
      <c r="QNM1" s="110"/>
      <c r="QNN1" s="110"/>
      <c r="QNO1" s="110"/>
      <c r="QNP1" s="110"/>
      <c r="QNQ1" s="110"/>
      <c r="QNR1" s="110"/>
      <c r="QNS1" s="110"/>
      <c r="QNT1" s="110"/>
      <c r="QNU1" s="110"/>
      <c r="QNV1" s="110"/>
      <c r="QNW1" s="110"/>
      <c r="QNX1" s="110"/>
      <c r="QNY1" s="110"/>
      <c r="QNZ1" s="110"/>
      <c r="QOA1" s="110"/>
      <c r="QOB1" s="110"/>
      <c r="QOC1" s="110"/>
      <c r="QOD1" s="110"/>
      <c r="QOE1" s="110"/>
      <c r="QOF1" s="110"/>
      <c r="QOG1" s="110"/>
      <c r="QOH1" s="110"/>
      <c r="QOI1" s="110"/>
      <c r="QOJ1" s="110"/>
      <c r="QOK1" s="110"/>
      <c r="QOL1" s="110"/>
      <c r="QOM1" s="110"/>
      <c r="QON1" s="110"/>
      <c r="QOO1" s="110"/>
      <c r="QOP1" s="110"/>
      <c r="QOQ1" s="110"/>
      <c r="QOR1" s="110"/>
      <c r="QOS1" s="110"/>
      <c r="QOT1" s="110"/>
      <c r="QOU1" s="110"/>
      <c r="QOV1" s="110"/>
      <c r="QOW1" s="110"/>
      <c r="QOX1" s="110"/>
      <c r="QOY1" s="110"/>
      <c r="QOZ1" s="110"/>
      <c r="QPA1" s="110"/>
      <c r="QPB1" s="110"/>
      <c r="QPC1" s="110"/>
      <c r="QPD1" s="110"/>
      <c r="QPE1" s="110"/>
      <c r="QPF1" s="110"/>
      <c r="QPG1" s="110"/>
      <c r="QPH1" s="110"/>
      <c r="QPI1" s="110"/>
      <c r="QPJ1" s="110"/>
      <c r="QPK1" s="110"/>
      <c r="QPL1" s="110"/>
      <c r="QPM1" s="110"/>
      <c r="QPN1" s="110"/>
      <c r="QPO1" s="110"/>
      <c r="QPP1" s="110"/>
      <c r="QPQ1" s="110"/>
      <c r="QPR1" s="110"/>
      <c r="QPS1" s="110"/>
      <c r="QPT1" s="110"/>
      <c r="QPU1" s="110"/>
      <c r="QPV1" s="110"/>
      <c r="QPW1" s="110"/>
      <c r="QPX1" s="110"/>
      <c r="QPY1" s="110"/>
      <c r="QPZ1" s="110"/>
      <c r="QQA1" s="110"/>
      <c r="QQB1" s="110"/>
      <c r="QQC1" s="110"/>
      <c r="QQD1" s="110"/>
      <c r="QQE1" s="110"/>
      <c r="QQF1" s="110"/>
      <c r="QQG1" s="110"/>
      <c r="QQH1" s="110"/>
      <c r="QQI1" s="110"/>
      <c r="QQJ1" s="110"/>
      <c r="QQK1" s="110"/>
      <c r="QQL1" s="110"/>
      <c r="QQM1" s="110"/>
      <c r="QQN1" s="110"/>
      <c r="QQO1" s="110"/>
      <c r="QQP1" s="110"/>
      <c r="QQQ1" s="110"/>
      <c r="QQR1" s="110"/>
      <c r="QQS1" s="110"/>
      <c r="QQT1" s="110"/>
      <c r="QQU1" s="110"/>
      <c r="QQV1" s="110"/>
      <c r="QQW1" s="110"/>
      <c r="QQX1" s="110"/>
      <c r="QQY1" s="110"/>
      <c r="QQZ1" s="110"/>
      <c r="QRA1" s="110"/>
      <c r="QRB1" s="110"/>
      <c r="QRC1" s="110"/>
      <c r="QRD1" s="110"/>
      <c r="QRE1" s="110"/>
      <c r="QRF1" s="110"/>
      <c r="QRG1" s="110"/>
      <c r="QRH1" s="110"/>
      <c r="QRI1" s="110"/>
      <c r="QRJ1" s="110"/>
      <c r="QRK1" s="110"/>
      <c r="QRL1" s="110"/>
      <c r="QRM1" s="110"/>
      <c r="QRN1" s="110"/>
      <c r="QRO1" s="110"/>
      <c r="QRP1" s="110"/>
      <c r="QRQ1" s="110"/>
      <c r="QRR1" s="110"/>
      <c r="QRS1" s="110"/>
      <c r="QRT1" s="110"/>
      <c r="QRU1" s="110"/>
      <c r="QRV1" s="110"/>
      <c r="QRW1" s="110"/>
      <c r="QRX1" s="110"/>
      <c r="QRY1" s="110"/>
      <c r="QRZ1" s="110"/>
      <c r="QSA1" s="110"/>
      <c r="QSB1" s="110"/>
      <c r="QSC1" s="110"/>
      <c r="QSD1" s="110"/>
      <c r="QSE1" s="110"/>
      <c r="QSF1" s="110"/>
      <c r="QSG1" s="110"/>
      <c r="QSH1" s="110"/>
      <c r="QSI1" s="110"/>
      <c r="QSJ1" s="110"/>
      <c r="QSK1" s="110"/>
      <c r="QSL1" s="110"/>
      <c r="QSM1" s="110"/>
      <c r="QSN1" s="110"/>
      <c r="QSO1" s="110"/>
      <c r="QSP1" s="110"/>
      <c r="QSQ1" s="110"/>
      <c r="QSR1" s="110"/>
      <c r="QSS1" s="110"/>
      <c r="QST1" s="110"/>
      <c r="QSU1" s="110"/>
      <c r="QSV1" s="110"/>
      <c r="QSW1" s="110"/>
      <c r="QSX1" s="110"/>
      <c r="QSY1" s="110"/>
      <c r="QSZ1" s="110"/>
      <c r="QTA1" s="110"/>
      <c r="QTB1" s="110"/>
      <c r="QTC1" s="110"/>
      <c r="QTD1" s="110"/>
      <c r="QTE1" s="110"/>
      <c r="QTF1" s="110"/>
      <c r="QTG1" s="110"/>
      <c r="QTH1" s="110"/>
      <c r="QTI1" s="110"/>
      <c r="QTJ1" s="110"/>
      <c r="QTK1" s="110"/>
      <c r="QTL1" s="110"/>
      <c r="QTM1" s="110"/>
      <c r="QTN1" s="110"/>
      <c r="QTO1" s="110"/>
      <c r="QTP1" s="110"/>
      <c r="QTQ1" s="110"/>
      <c r="QTR1" s="110"/>
      <c r="QTS1" s="110"/>
      <c r="QTT1" s="110"/>
      <c r="QTU1" s="110"/>
      <c r="QTV1" s="110"/>
      <c r="QTW1" s="110"/>
      <c r="QTX1" s="110"/>
      <c r="QTY1" s="110"/>
      <c r="QTZ1" s="110"/>
      <c r="QUA1" s="110"/>
      <c r="QUB1" s="110"/>
      <c r="QUC1" s="110"/>
      <c r="QUD1" s="110"/>
      <c r="QUE1" s="110"/>
      <c r="QUF1" s="110"/>
      <c r="QUG1" s="110"/>
      <c r="QUH1" s="110"/>
      <c r="QUI1" s="110"/>
      <c r="QUJ1" s="110"/>
      <c r="QUK1" s="110"/>
      <c r="QUL1" s="110"/>
      <c r="QUM1" s="110"/>
      <c r="QUN1" s="110"/>
      <c r="QUO1" s="110"/>
      <c r="QUP1" s="110"/>
      <c r="QUQ1" s="110"/>
      <c r="QUR1" s="110"/>
      <c r="QUS1" s="110"/>
      <c r="QUT1" s="110"/>
      <c r="QUU1" s="110"/>
      <c r="QUV1" s="110"/>
      <c r="QUW1" s="110"/>
      <c r="QUX1" s="110"/>
      <c r="QUY1" s="110"/>
      <c r="QUZ1" s="110"/>
      <c r="QVA1" s="110"/>
      <c r="QVB1" s="110"/>
      <c r="QVC1" s="110"/>
      <c r="QVD1" s="110"/>
      <c r="QVE1" s="110"/>
      <c r="QVF1" s="110"/>
      <c r="QVG1" s="110"/>
      <c r="QVH1" s="110"/>
      <c r="QVI1" s="110"/>
      <c r="QVJ1" s="110"/>
      <c r="QVK1" s="110"/>
      <c r="QVL1" s="110"/>
      <c r="QVM1" s="110"/>
      <c r="QVN1" s="110"/>
      <c r="QVO1" s="110"/>
      <c r="QVP1" s="110"/>
      <c r="QVQ1" s="110"/>
      <c r="QVR1" s="110"/>
      <c r="QVS1" s="110"/>
      <c r="QVT1" s="110"/>
      <c r="QVU1" s="110"/>
      <c r="QVV1" s="110"/>
      <c r="QVW1" s="110"/>
      <c r="QVX1" s="110"/>
      <c r="QVY1" s="110"/>
      <c r="QVZ1" s="110"/>
      <c r="QWA1" s="110"/>
      <c r="QWB1" s="110"/>
      <c r="QWC1" s="110"/>
      <c r="QWD1" s="110"/>
      <c r="QWE1" s="110"/>
      <c r="QWF1" s="110"/>
      <c r="QWG1" s="110"/>
      <c r="QWH1" s="110"/>
      <c r="QWI1" s="110"/>
      <c r="QWJ1" s="110"/>
      <c r="QWK1" s="110"/>
      <c r="QWL1" s="110"/>
      <c r="QWM1" s="110"/>
      <c r="QWN1" s="110"/>
      <c r="QWO1" s="110"/>
      <c r="QWP1" s="110"/>
      <c r="QWQ1" s="110"/>
      <c r="QWR1" s="110"/>
      <c r="QWS1" s="110"/>
      <c r="QWT1" s="110"/>
      <c r="QWU1" s="110"/>
      <c r="QWV1" s="110"/>
      <c r="QWW1" s="110"/>
      <c r="QWX1" s="110"/>
      <c r="QWY1" s="110"/>
      <c r="QWZ1" s="110"/>
      <c r="QXA1" s="110"/>
      <c r="QXB1" s="110"/>
      <c r="QXC1" s="110"/>
      <c r="QXD1" s="110"/>
      <c r="QXE1" s="110"/>
      <c r="QXF1" s="110"/>
      <c r="QXG1" s="110"/>
      <c r="QXH1" s="110"/>
      <c r="QXI1" s="110"/>
      <c r="QXJ1" s="110"/>
      <c r="QXK1" s="110"/>
      <c r="QXL1" s="110"/>
      <c r="QXM1" s="110"/>
      <c r="QXN1" s="110"/>
      <c r="QXO1" s="110"/>
      <c r="QXP1" s="110"/>
      <c r="QXQ1" s="110"/>
      <c r="QXR1" s="110"/>
      <c r="QXS1" s="110"/>
      <c r="QXT1" s="110"/>
      <c r="QXU1" s="110"/>
      <c r="QXV1" s="110"/>
      <c r="QXW1" s="110"/>
      <c r="QXX1" s="110"/>
      <c r="QXY1" s="110"/>
      <c r="QXZ1" s="110"/>
      <c r="QYA1" s="110"/>
      <c r="QYB1" s="110"/>
      <c r="QYC1" s="110"/>
      <c r="QYD1" s="110"/>
      <c r="QYE1" s="110"/>
      <c r="QYF1" s="110"/>
      <c r="QYG1" s="110"/>
      <c r="QYH1" s="110"/>
      <c r="QYI1" s="110"/>
      <c r="QYJ1" s="110"/>
      <c r="QYK1" s="110"/>
      <c r="QYL1" s="110"/>
      <c r="QYM1" s="110"/>
      <c r="QYN1" s="110"/>
      <c r="QYO1" s="110"/>
      <c r="QYP1" s="110"/>
      <c r="QYQ1" s="110"/>
      <c r="QYR1" s="110"/>
      <c r="QYS1" s="110"/>
      <c r="QYT1" s="110"/>
      <c r="QYU1" s="110"/>
      <c r="QYV1" s="110"/>
      <c r="QYW1" s="110"/>
      <c r="QYX1" s="110"/>
      <c r="QYY1" s="110"/>
      <c r="QYZ1" s="110"/>
      <c r="QZA1" s="110"/>
      <c r="QZB1" s="110"/>
      <c r="QZC1" s="110"/>
      <c r="QZD1" s="110"/>
      <c r="QZE1" s="110"/>
      <c r="QZF1" s="110"/>
      <c r="QZG1" s="110"/>
      <c r="QZH1" s="110"/>
      <c r="QZI1" s="110"/>
      <c r="QZJ1" s="110"/>
      <c r="QZK1" s="110"/>
      <c r="QZL1" s="110"/>
      <c r="QZM1" s="110"/>
      <c r="QZN1" s="110"/>
      <c r="QZO1" s="110"/>
      <c r="QZP1" s="110"/>
      <c r="QZQ1" s="110"/>
      <c r="QZR1" s="110"/>
      <c r="QZS1" s="110"/>
      <c r="QZT1" s="110"/>
      <c r="QZU1" s="110"/>
      <c r="QZV1" s="110"/>
      <c r="QZW1" s="110"/>
      <c r="QZX1" s="110"/>
      <c r="QZY1" s="110"/>
      <c r="QZZ1" s="110"/>
      <c r="RAA1" s="110"/>
      <c r="RAB1" s="110"/>
      <c r="RAC1" s="110"/>
      <c r="RAD1" s="110"/>
      <c r="RAE1" s="110"/>
      <c r="RAF1" s="110"/>
      <c r="RAG1" s="110"/>
      <c r="RAH1" s="110"/>
      <c r="RAI1" s="110"/>
      <c r="RAJ1" s="110"/>
      <c r="RAK1" s="110"/>
      <c r="RAL1" s="110"/>
      <c r="RAM1" s="110"/>
      <c r="RAN1" s="110"/>
      <c r="RAO1" s="110"/>
      <c r="RAP1" s="110"/>
      <c r="RAQ1" s="110"/>
      <c r="RAR1" s="110"/>
      <c r="RAS1" s="110"/>
      <c r="RAT1" s="110"/>
      <c r="RAU1" s="110"/>
      <c r="RAV1" s="110"/>
      <c r="RAW1" s="110"/>
      <c r="RAX1" s="110"/>
      <c r="RAY1" s="110"/>
      <c r="RAZ1" s="110"/>
      <c r="RBA1" s="110"/>
      <c r="RBB1" s="110"/>
      <c r="RBC1" s="110"/>
      <c r="RBD1" s="110"/>
      <c r="RBE1" s="110"/>
      <c r="RBF1" s="110"/>
      <c r="RBG1" s="110"/>
      <c r="RBH1" s="110"/>
      <c r="RBI1" s="110"/>
      <c r="RBJ1" s="110"/>
      <c r="RBK1" s="110"/>
      <c r="RBL1" s="110"/>
      <c r="RBM1" s="110"/>
      <c r="RBN1" s="110"/>
      <c r="RBO1" s="110"/>
      <c r="RBP1" s="110"/>
      <c r="RBQ1" s="110"/>
      <c r="RBR1" s="110"/>
      <c r="RBS1" s="110"/>
      <c r="RBT1" s="110"/>
      <c r="RBU1" s="110"/>
      <c r="RBV1" s="110"/>
      <c r="RBW1" s="110"/>
      <c r="RBX1" s="110"/>
      <c r="RBY1" s="110"/>
      <c r="RBZ1" s="110"/>
      <c r="RCA1" s="110"/>
      <c r="RCB1" s="110"/>
      <c r="RCC1" s="110"/>
      <c r="RCD1" s="110"/>
      <c r="RCE1" s="110"/>
      <c r="RCF1" s="110"/>
      <c r="RCG1" s="110"/>
      <c r="RCH1" s="110"/>
      <c r="RCI1" s="110"/>
      <c r="RCJ1" s="110"/>
      <c r="RCK1" s="110"/>
      <c r="RCL1" s="110"/>
      <c r="RCM1" s="110"/>
      <c r="RCN1" s="110"/>
      <c r="RCO1" s="110"/>
      <c r="RCP1" s="110"/>
      <c r="RCQ1" s="110"/>
      <c r="RCR1" s="110"/>
      <c r="RCS1" s="110"/>
      <c r="RCT1" s="110"/>
      <c r="RCU1" s="110"/>
      <c r="RCV1" s="110"/>
      <c r="RCW1" s="110"/>
      <c r="RCX1" s="110"/>
      <c r="RCY1" s="110"/>
      <c r="RCZ1" s="110"/>
      <c r="RDA1" s="110"/>
      <c r="RDB1" s="110"/>
      <c r="RDC1" s="110"/>
      <c r="RDD1" s="110"/>
      <c r="RDE1" s="110"/>
      <c r="RDF1" s="110"/>
      <c r="RDG1" s="110"/>
      <c r="RDH1" s="110"/>
      <c r="RDI1" s="110"/>
      <c r="RDJ1" s="110"/>
      <c r="RDK1" s="110"/>
      <c r="RDL1" s="110"/>
      <c r="RDM1" s="110"/>
      <c r="RDN1" s="110"/>
      <c r="RDO1" s="110"/>
      <c r="RDP1" s="110"/>
      <c r="RDQ1" s="110"/>
      <c r="RDR1" s="110"/>
      <c r="RDS1" s="110"/>
      <c r="RDT1" s="110"/>
      <c r="RDU1" s="110"/>
      <c r="RDV1" s="110"/>
      <c r="RDW1" s="110"/>
      <c r="RDX1" s="110"/>
      <c r="RDY1" s="110"/>
      <c r="RDZ1" s="110"/>
      <c r="REA1" s="110"/>
      <c r="REB1" s="110"/>
      <c r="REC1" s="110"/>
      <c r="RED1" s="110"/>
      <c r="REE1" s="110"/>
      <c r="REF1" s="110"/>
      <c r="REG1" s="110"/>
      <c r="REH1" s="110"/>
      <c r="REI1" s="110"/>
      <c r="REJ1" s="110"/>
      <c r="REK1" s="110"/>
      <c r="REL1" s="110"/>
      <c r="REM1" s="110"/>
      <c r="REN1" s="110"/>
      <c r="REO1" s="110"/>
      <c r="REP1" s="110"/>
      <c r="REQ1" s="110"/>
      <c r="RER1" s="110"/>
      <c r="RES1" s="110"/>
      <c r="RET1" s="110"/>
      <c r="REU1" s="110"/>
      <c r="REV1" s="110"/>
      <c r="REW1" s="110"/>
      <c r="REX1" s="110"/>
      <c r="REY1" s="110"/>
      <c r="REZ1" s="110"/>
      <c r="RFA1" s="110"/>
      <c r="RFB1" s="110"/>
      <c r="RFC1" s="110"/>
      <c r="RFD1" s="110"/>
      <c r="RFE1" s="110"/>
      <c r="RFF1" s="110"/>
      <c r="RFG1" s="110"/>
      <c r="RFH1" s="110"/>
      <c r="RFI1" s="110"/>
      <c r="RFJ1" s="110"/>
      <c r="RFK1" s="110"/>
      <c r="RFL1" s="110"/>
      <c r="RFM1" s="110"/>
      <c r="RFN1" s="110"/>
      <c r="RFO1" s="110"/>
      <c r="RFP1" s="110"/>
      <c r="RFQ1" s="110"/>
      <c r="RFR1" s="110"/>
      <c r="RFS1" s="110"/>
      <c r="RFT1" s="110"/>
      <c r="RFU1" s="110"/>
      <c r="RFV1" s="110"/>
      <c r="RFW1" s="110"/>
      <c r="RFX1" s="110"/>
      <c r="RFY1" s="110"/>
      <c r="RFZ1" s="110"/>
      <c r="RGA1" s="110"/>
      <c r="RGB1" s="110"/>
      <c r="RGC1" s="110"/>
      <c r="RGD1" s="110"/>
      <c r="RGE1" s="110"/>
      <c r="RGF1" s="110"/>
      <c r="RGG1" s="110"/>
      <c r="RGH1" s="110"/>
      <c r="RGI1" s="110"/>
      <c r="RGJ1" s="110"/>
      <c r="RGK1" s="110"/>
      <c r="RGL1" s="110"/>
      <c r="RGM1" s="110"/>
      <c r="RGN1" s="110"/>
      <c r="RGO1" s="110"/>
      <c r="RGP1" s="110"/>
      <c r="RGQ1" s="110"/>
      <c r="RGR1" s="110"/>
      <c r="RGS1" s="110"/>
      <c r="RGT1" s="110"/>
      <c r="RGU1" s="110"/>
      <c r="RGV1" s="110"/>
      <c r="RGW1" s="110"/>
      <c r="RGX1" s="110"/>
      <c r="RGY1" s="110"/>
      <c r="RGZ1" s="110"/>
      <c r="RHA1" s="110"/>
      <c r="RHB1" s="110"/>
      <c r="RHC1" s="110"/>
      <c r="RHD1" s="110"/>
      <c r="RHE1" s="110"/>
      <c r="RHF1" s="110"/>
      <c r="RHG1" s="110"/>
      <c r="RHH1" s="110"/>
      <c r="RHI1" s="110"/>
      <c r="RHJ1" s="110"/>
      <c r="RHK1" s="110"/>
      <c r="RHL1" s="110"/>
      <c r="RHM1" s="110"/>
      <c r="RHN1" s="110"/>
      <c r="RHO1" s="110"/>
      <c r="RHP1" s="110"/>
      <c r="RHQ1" s="110"/>
      <c r="RHR1" s="110"/>
      <c r="RHS1" s="110"/>
      <c r="RHT1" s="110"/>
      <c r="RHU1" s="110"/>
      <c r="RHV1" s="110"/>
      <c r="RHW1" s="110"/>
      <c r="RHX1" s="110"/>
      <c r="RHY1" s="110"/>
      <c r="RHZ1" s="110"/>
      <c r="RIA1" s="110"/>
      <c r="RIB1" s="110"/>
      <c r="RIC1" s="110"/>
      <c r="RID1" s="110"/>
      <c r="RIE1" s="110"/>
      <c r="RIF1" s="110"/>
      <c r="RIG1" s="110"/>
      <c r="RIH1" s="110"/>
      <c r="RII1" s="110"/>
      <c r="RIJ1" s="110"/>
      <c r="RIK1" s="110"/>
      <c r="RIL1" s="110"/>
      <c r="RIM1" s="110"/>
      <c r="RIN1" s="110"/>
      <c r="RIO1" s="110"/>
      <c r="RIP1" s="110"/>
      <c r="RIQ1" s="110"/>
      <c r="RIR1" s="110"/>
      <c r="RIS1" s="110"/>
      <c r="RIT1" s="110"/>
      <c r="RIU1" s="110"/>
      <c r="RIV1" s="110"/>
      <c r="RIW1" s="110"/>
      <c r="RIX1" s="110"/>
      <c r="RIY1" s="110"/>
      <c r="RIZ1" s="110"/>
      <c r="RJA1" s="110"/>
      <c r="RJB1" s="110"/>
      <c r="RJC1" s="110"/>
      <c r="RJD1" s="110"/>
      <c r="RJE1" s="110"/>
      <c r="RJF1" s="110"/>
      <c r="RJG1" s="110"/>
      <c r="RJH1" s="110"/>
      <c r="RJI1" s="110"/>
      <c r="RJJ1" s="110"/>
      <c r="RJK1" s="110"/>
      <c r="RJL1" s="110"/>
      <c r="RJM1" s="110"/>
      <c r="RJN1" s="110"/>
      <c r="RJO1" s="110"/>
      <c r="RJP1" s="110"/>
      <c r="RJQ1" s="110"/>
      <c r="RJR1" s="110"/>
      <c r="RJS1" s="110"/>
      <c r="RJT1" s="110"/>
      <c r="RJU1" s="110"/>
      <c r="RJV1" s="110"/>
      <c r="RJW1" s="110"/>
      <c r="RJX1" s="110"/>
      <c r="RJY1" s="110"/>
      <c r="RJZ1" s="110"/>
      <c r="RKA1" s="110"/>
      <c r="RKB1" s="110"/>
      <c r="RKC1" s="110"/>
      <c r="RKD1" s="110"/>
      <c r="RKE1" s="110"/>
      <c r="RKF1" s="110"/>
      <c r="RKG1" s="110"/>
      <c r="RKH1" s="110"/>
      <c r="RKI1" s="110"/>
      <c r="RKJ1" s="110"/>
      <c r="RKK1" s="110"/>
      <c r="RKL1" s="110"/>
      <c r="RKM1" s="110"/>
      <c r="RKN1" s="110"/>
      <c r="RKO1" s="110"/>
      <c r="RKP1" s="110"/>
      <c r="RKQ1" s="110"/>
      <c r="RKR1" s="110"/>
      <c r="RKS1" s="110"/>
      <c r="RKT1" s="110"/>
      <c r="RKU1" s="110"/>
      <c r="RKV1" s="110"/>
      <c r="RKW1" s="110"/>
      <c r="RKX1" s="110"/>
      <c r="RKY1" s="110"/>
      <c r="RKZ1" s="110"/>
      <c r="RLA1" s="110"/>
      <c r="RLB1" s="110"/>
      <c r="RLC1" s="110"/>
      <c r="RLD1" s="110"/>
      <c r="RLE1" s="110"/>
      <c r="RLF1" s="110"/>
      <c r="RLG1" s="110"/>
      <c r="RLH1" s="110"/>
      <c r="RLI1" s="110"/>
      <c r="RLJ1" s="110"/>
      <c r="RLK1" s="110"/>
      <c r="RLL1" s="110"/>
      <c r="RLM1" s="110"/>
      <c r="RLN1" s="110"/>
      <c r="RLO1" s="110"/>
      <c r="RLP1" s="110"/>
      <c r="RLQ1" s="110"/>
      <c r="RLR1" s="110"/>
      <c r="RLS1" s="110"/>
      <c r="RLT1" s="110"/>
      <c r="RLU1" s="110"/>
      <c r="RLV1" s="110"/>
      <c r="RLW1" s="110"/>
      <c r="RLX1" s="110"/>
      <c r="RLY1" s="110"/>
      <c r="RLZ1" s="110"/>
      <c r="RMA1" s="110"/>
      <c r="RMB1" s="110"/>
      <c r="RMC1" s="110"/>
      <c r="RMD1" s="110"/>
      <c r="RME1" s="110"/>
      <c r="RMF1" s="110"/>
      <c r="RMG1" s="110"/>
      <c r="RMH1" s="110"/>
      <c r="RMI1" s="110"/>
      <c r="RMJ1" s="110"/>
      <c r="RMK1" s="110"/>
      <c r="RML1" s="110"/>
      <c r="RMM1" s="110"/>
      <c r="RMN1" s="110"/>
      <c r="RMO1" s="110"/>
      <c r="RMP1" s="110"/>
      <c r="RMQ1" s="110"/>
      <c r="RMR1" s="110"/>
      <c r="RMS1" s="110"/>
      <c r="RMT1" s="110"/>
      <c r="RMU1" s="110"/>
      <c r="RMV1" s="110"/>
      <c r="RMW1" s="110"/>
      <c r="RMX1" s="110"/>
      <c r="RMY1" s="110"/>
      <c r="RMZ1" s="110"/>
      <c r="RNA1" s="110"/>
      <c r="RNB1" s="110"/>
      <c r="RNC1" s="110"/>
      <c r="RND1" s="110"/>
      <c r="RNE1" s="110"/>
      <c r="RNF1" s="110"/>
      <c r="RNG1" s="110"/>
      <c r="RNH1" s="110"/>
      <c r="RNI1" s="110"/>
      <c r="RNJ1" s="110"/>
      <c r="RNK1" s="110"/>
      <c r="RNL1" s="110"/>
      <c r="RNM1" s="110"/>
      <c r="RNN1" s="110"/>
      <c r="RNO1" s="110"/>
      <c r="RNP1" s="110"/>
      <c r="RNQ1" s="110"/>
      <c r="RNR1" s="110"/>
      <c r="RNS1" s="110"/>
      <c r="RNT1" s="110"/>
      <c r="RNU1" s="110"/>
      <c r="RNV1" s="110"/>
      <c r="RNW1" s="110"/>
      <c r="RNX1" s="110"/>
      <c r="RNY1" s="110"/>
      <c r="RNZ1" s="110"/>
      <c r="ROA1" s="110"/>
      <c r="ROB1" s="110"/>
      <c r="ROC1" s="110"/>
      <c r="ROD1" s="110"/>
      <c r="ROE1" s="110"/>
      <c r="ROF1" s="110"/>
      <c r="ROG1" s="110"/>
      <c r="ROH1" s="110"/>
      <c r="ROI1" s="110"/>
      <c r="ROJ1" s="110"/>
      <c r="ROK1" s="110"/>
      <c r="ROL1" s="110"/>
      <c r="ROM1" s="110"/>
      <c r="RON1" s="110"/>
      <c r="ROO1" s="110"/>
      <c r="ROP1" s="110"/>
      <c r="ROQ1" s="110"/>
      <c r="ROR1" s="110"/>
      <c r="ROS1" s="110"/>
      <c r="ROT1" s="110"/>
      <c r="ROU1" s="110"/>
      <c r="ROV1" s="110"/>
      <c r="ROW1" s="110"/>
      <c r="ROX1" s="110"/>
      <c r="ROY1" s="110"/>
      <c r="ROZ1" s="110"/>
      <c r="RPA1" s="110"/>
      <c r="RPB1" s="110"/>
      <c r="RPC1" s="110"/>
      <c r="RPD1" s="110"/>
      <c r="RPE1" s="110"/>
      <c r="RPF1" s="110"/>
      <c r="RPG1" s="110"/>
      <c r="RPH1" s="110"/>
      <c r="RPI1" s="110"/>
      <c r="RPJ1" s="110"/>
      <c r="RPK1" s="110"/>
      <c r="RPL1" s="110"/>
      <c r="RPM1" s="110"/>
      <c r="RPN1" s="110"/>
      <c r="RPO1" s="110"/>
      <c r="RPP1" s="110"/>
      <c r="RPQ1" s="110"/>
      <c r="RPR1" s="110"/>
      <c r="RPS1" s="110"/>
      <c r="RPT1" s="110"/>
      <c r="RPU1" s="110"/>
      <c r="RPV1" s="110"/>
      <c r="RPW1" s="110"/>
      <c r="RPX1" s="110"/>
      <c r="RPY1" s="110"/>
      <c r="RPZ1" s="110"/>
      <c r="RQA1" s="110"/>
      <c r="RQB1" s="110"/>
      <c r="RQC1" s="110"/>
      <c r="RQD1" s="110"/>
      <c r="RQE1" s="110"/>
      <c r="RQF1" s="110"/>
      <c r="RQG1" s="110"/>
      <c r="RQH1" s="110"/>
      <c r="RQI1" s="110"/>
      <c r="RQJ1" s="110"/>
      <c r="RQK1" s="110"/>
      <c r="RQL1" s="110"/>
      <c r="RQM1" s="110"/>
      <c r="RQN1" s="110"/>
      <c r="RQO1" s="110"/>
      <c r="RQP1" s="110"/>
      <c r="RQQ1" s="110"/>
      <c r="RQR1" s="110"/>
      <c r="RQS1" s="110"/>
      <c r="RQT1" s="110"/>
      <c r="RQU1" s="110"/>
      <c r="RQV1" s="110"/>
      <c r="RQW1" s="110"/>
      <c r="RQX1" s="110"/>
      <c r="RQY1" s="110"/>
      <c r="RQZ1" s="110"/>
      <c r="RRA1" s="110"/>
      <c r="RRB1" s="110"/>
      <c r="RRC1" s="110"/>
      <c r="RRD1" s="110"/>
      <c r="RRE1" s="110"/>
      <c r="RRF1" s="110"/>
      <c r="RRG1" s="110"/>
      <c r="RRH1" s="110"/>
      <c r="RRI1" s="110"/>
      <c r="RRJ1" s="110"/>
      <c r="RRK1" s="110"/>
      <c r="RRL1" s="110"/>
      <c r="RRM1" s="110"/>
      <c r="RRN1" s="110"/>
      <c r="RRO1" s="110"/>
      <c r="RRP1" s="110"/>
      <c r="RRQ1" s="110"/>
      <c r="RRR1" s="110"/>
      <c r="RRS1" s="110"/>
      <c r="RRT1" s="110"/>
      <c r="RRU1" s="110"/>
      <c r="RRV1" s="110"/>
      <c r="RRW1" s="110"/>
      <c r="RRX1" s="110"/>
      <c r="RRY1" s="110"/>
      <c r="RRZ1" s="110"/>
      <c r="RSA1" s="110"/>
      <c r="RSB1" s="110"/>
      <c r="RSC1" s="110"/>
      <c r="RSD1" s="110"/>
      <c r="RSE1" s="110"/>
      <c r="RSF1" s="110"/>
      <c r="RSG1" s="110"/>
      <c r="RSH1" s="110"/>
      <c r="RSI1" s="110"/>
      <c r="RSJ1" s="110"/>
      <c r="RSK1" s="110"/>
      <c r="RSL1" s="110"/>
      <c r="RSM1" s="110"/>
      <c r="RSN1" s="110"/>
      <c r="RSO1" s="110"/>
      <c r="RSP1" s="110"/>
      <c r="RSQ1" s="110"/>
      <c r="RSR1" s="110"/>
      <c r="RSS1" s="110"/>
      <c r="RST1" s="110"/>
      <c r="RSU1" s="110"/>
      <c r="RSV1" s="110"/>
      <c r="RSW1" s="110"/>
      <c r="RSX1" s="110"/>
      <c r="RSY1" s="110"/>
      <c r="RSZ1" s="110"/>
      <c r="RTA1" s="110"/>
      <c r="RTB1" s="110"/>
      <c r="RTC1" s="110"/>
      <c r="RTD1" s="110"/>
      <c r="RTE1" s="110"/>
      <c r="RTF1" s="110"/>
      <c r="RTG1" s="110"/>
      <c r="RTH1" s="110"/>
      <c r="RTI1" s="110"/>
      <c r="RTJ1" s="110"/>
      <c r="RTK1" s="110"/>
      <c r="RTL1" s="110"/>
      <c r="RTM1" s="110"/>
      <c r="RTN1" s="110"/>
      <c r="RTO1" s="110"/>
      <c r="RTP1" s="110"/>
      <c r="RTQ1" s="110"/>
      <c r="RTR1" s="110"/>
      <c r="RTS1" s="110"/>
      <c r="RTT1" s="110"/>
      <c r="RTU1" s="110"/>
      <c r="RTV1" s="110"/>
      <c r="RTW1" s="110"/>
      <c r="RTX1" s="110"/>
      <c r="RTY1" s="110"/>
      <c r="RTZ1" s="110"/>
      <c r="RUA1" s="110"/>
      <c r="RUB1" s="110"/>
      <c r="RUC1" s="110"/>
      <c r="RUD1" s="110"/>
      <c r="RUE1" s="110"/>
      <c r="RUF1" s="110"/>
      <c r="RUG1" s="110"/>
      <c r="RUH1" s="110"/>
      <c r="RUI1" s="110"/>
      <c r="RUJ1" s="110"/>
      <c r="RUK1" s="110"/>
      <c r="RUL1" s="110"/>
      <c r="RUM1" s="110"/>
      <c r="RUN1" s="110"/>
      <c r="RUO1" s="110"/>
      <c r="RUP1" s="110"/>
      <c r="RUQ1" s="110"/>
      <c r="RUR1" s="110"/>
      <c r="RUS1" s="110"/>
      <c r="RUT1" s="110"/>
      <c r="RUU1" s="110"/>
      <c r="RUV1" s="110"/>
      <c r="RUW1" s="110"/>
      <c r="RUX1" s="110"/>
      <c r="RUY1" s="110"/>
      <c r="RUZ1" s="110"/>
      <c r="RVA1" s="110"/>
      <c r="RVB1" s="110"/>
      <c r="RVC1" s="110"/>
      <c r="RVD1" s="110"/>
      <c r="RVE1" s="110"/>
      <c r="RVF1" s="110"/>
      <c r="RVG1" s="110"/>
      <c r="RVH1" s="110"/>
      <c r="RVI1" s="110"/>
      <c r="RVJ1" s="110"/>
      <c r="RVK1" s="110"/>
      <c r="RVL1" s="110"/>
      <c r="RVM1" s="110"/>
      <c r="RVN1" s="110"/>
      <c r="RVO1" s="110"/>
      <c r="RVP1" s="110"/>
      <c r="RVQ1" s="110"/>
      <c r="RVR1" s="110"/>
      <c r="RVS1" s="110"/>
      <c r="RVT1" s="110"/>
      <c r="RVU1" s="110"/>
      <c r="RVV1" s="110"/>
      <c r="RVW1" s="110"/>
      <c r="RVX1" s="110"/>
      <c r="RVY1" s="110"/>
      <c r="RVZ1" s="110"/>
      <c r="RWA1" s="110"/>
      <c r="RWB1" s="110"/>
      <c r="RWC1" s="110"/>
      <c r="RWD1" s="110"/>
      <c r="RWE1" s="110"/>
      <c r="RWF1" s="110"/>
      <c r="RWG1" s="110"/>
      <c r="RWH1" s="110"/>
      <c r="RWI1" s="110"/>
      <c r="RWJ1" s="110"/>
      <c r="RWK1" s="110"/>
      <c r="RWL1" s="110"/>
      <c r="RWM1" s="110"/>
      <c r="RWN1" s="110"/>
      <c r="RWO1" s="110"/>
      <c r="RWP1" s="110"/>
      <c r="RWQ1" s="110"/>
      <c r="RWR1" s="110"/>
      <c r="RWS1" s="110"/>
      <c r="RWT1" s="110"/>
      <c r="RWU1" s="110"/>
      <c r="RWV1" s="110"/>
      <c r="RWW1" s="110"/>
      <c r="RWX1" s="110"/>
      <c r="RWY1" s="110"/>
      <c r="RWZ1" s="110"/>
      <c r="RXA1" s="110"/>
      <c r="RXB1" s="110"/>
      <c r="RXC1" s="110"/>
      <c r="RXD1" s="110"/>
      <c r="RXE1" s="110"/>
      <c r="RXF1" s="110"/>
      <c r="RXG1" s="110"/>
      <c r="RXH1" s="110"/>
      <c r="RXI1" s="110"/>
      <c r="RXJ1" s="110"/>
      <c r="RXK1" s="110"/>
      <c r="RXL1" s="110"/>
      <c r="RXM1" s="110"/>
      <c r="RXN1" s="110"/>
      <c r="RXO1" s="110"/>
      <c r="RXP1" s="110"/>
      <c r="RXQ1" s="110"/>
      <c r="RXR1" s="110"/>
      <c r="RXS1" s="110"/>
      <c r="RXT1" s="110"/>
      <c r="RXU1" s="110"/>
      <c r="RXV1" s="110"/>
      <c r="RXW1" s="110"/>
      <c r="RXX1" s="110"/>
      <c r="RXY1" s="110"/>
      <c r="RXZ1" s="110"/>
      <c r="RYA1" s="110"/>
      <c r="RYB1" s="110"/>
      <c r="RYC1" s="110"/>
      <c r="RYD1" s="110"/>
      <c r="RYE1" s="110"/>
      <c r="RYF1" s="110"/>
      <c r="RYG1" s="110"/>
      <c r="RYH1" s="110"/>
      <c r="RYI1" s="110"/>
      <c r="RYJ1" s="110"/>
      <c r="RYK1" s="110"/>
      <c r="RYL1" s="110"/>
      <c r="RYM1" s="110"/>
      <c r="RYN1" s="110"/>
      <c r="RYO1" s="110"/>
      <c r="RYP1" s="110"/>
      <c r="RYQ1" s="110"/>
      <c r="RYR1" s="110"/>
      <c r="RYS1" s="110"/>
      <c r="RYT1" s="110"/>
      <c r="RYU1" s="110"/>
      <c r="RYV1" s="110"/>
      <c r="RYW1" s="110"/>
      <c r="RYX1" s="110"/>
      <c r="RYY1" s="110"/>
      <c r="RYZ1" s="110"/>
      <c r="RZA1" s="110"/>
      <c r="RZB1" s="110"/>
      <c r="RZC1" s="110"/>
      <c r="RZD1" s="110"/>
      <c r="RZE1" s="110"/>
      <c r="RZF1" s="110"/>
      <c r="RZG1" s="110"/>
      <c r="RZH1" s="110"/>
      <c r="RZI1" s="110"/>
      <c r="RZJ1" s="110"/>
      <c r="RZK1" s="110"/>
      <c r="RZL1" s="110"/>
      <c r="RZM1" s="110"/>
      <c r="RZN1" s="110"/>
      <c r="RZO1" s="110"/>
      <c r="RZP1" s="110"/>
      <c r="RZQ1" s="110"/>
      <c r="RZR1" s="110"/>
      <c r="RZS1" s="110"/>
      <c r="RZT1" s="110"/>
      <c r="RZU1" s="110"/>
      <c r="RZV1" s="110"/>
      <c r="RZW1" s="110"/>
      <c r="RZX1" s="110"/>
      <c r="RZY1" s="110"/>
      <c r="RZZ1" s="110"/>
      <c r="SAA1" s="110"/>
      <c r="SAB1" s="110"/>
      <c r="SAC1" s="110"/>
      <c r="SAD1" s="110"/>
      <c r="SAE1" s="110"/>
      <c r="SAF1" s="110"/>
      <c r="SAG1" s="110"/>
      <c r="SAH1" s="110"/>
      <c r="SAI1" s="110"/>
      <c r="SAJ1" s="110"/>
      <c r="SAK1" s="110"/>
      <c r="SAL1" s="110"/>
      <c r="SAM1" s="110"/>
      <c r="SAN1" s="110"/>
      <c r="SAO1" s="110"/>
      <c r="SAP1" s="110"/>
      <c r="SAQ1" s="110"/>
      <c r="SAR1" s="110"/>
      <c r="SAS1" s="110"/>
      <c r="SAT1" s="110"/>
      <c r="SAU1" s="110"/>
      <c r="SAV1" s="110"/>
      <c r="SAW1" s="110"/>
      <c r="SAX1" s="110"/>
      <c r="SAY1" s="110"/>
      <c r="SAZ1" s="110"/>
      <c r="SBA1" s="110"/>
      <c r="SBB1" s="110"/>
      <c r="SBC1" s="110"/>
      <c r="SBD1" s="110"/>
      <c r="SBE1" s="110"/>
      <c r="SBF1" s="110"/>
      <c r="SBG1" s="110"/>
      <c r="SBH1" s="110"/>
      <c r="SBI1" s="110"/>
      <c r="SBJ1" s="110"/>
      <c r="SBK1" s="110"/>
      <c r="SBL1" s="110"/>
      <c r="SBM1" s="110"/>
      <c r="SBN1" s="110"/>
      <c r="SBO1" s="110"/>
      <c r="SBP1" s="110"/>
      <c r="SBQ1" s="110"/>
      <c r="SBR1" s="110"/>
      <c r="SBS1" s="110"/>
      <c r="SBT1" s="110"/>
      <c r="SBU1" s="110"/>
      <c r="SBV1" s="110"/>
      <c r="SBW1" s="110"/>
      <c r="SBX1" s="110"/>
      <c r="SBY1" s="110"/>
      <c r="SBZ1" s="110"/>
      <c r="SCA1" s="110"/>
      <c r="SCB1" s="110"/>
      <c r="SCC1" s="110"/>
      <c r="SCD1" s="110"/>
      <c r="SCE1" s="110"/>
      <c r="SCF1" s="110"/>
      <c r="SCG1" s="110"/>
      <c r="SCH1" s="110"/>
      <c r="SCI1" s="110"/>
      <c r="SCJ1" s="110"/>
      <c r="SCK1" s="110"/>
      <c r="SCL1" s="110"/>
      <c r="SCM1" s="110"/>
      <c r="SCN1" s="110"/>
      <c r="SCO1" s="110"/>
      <c r="SCP1" s="110"/>
      <c r="SCQ1" s="110"/>
      <c r="SCR1" s="110"/>
      <c r="SCS1" s="110"/>
      <c r="SCT1" s="110"/>
      <c r="SCU1" s="110"/>
      <c r="SCV1" s="110"/>
      <c r="SCW1" s="110"/>
      <c r="SCX1" s="110"/>
      <c r="SCY1" s="110"/>
      <c r="SCZ1" s="110"/>
      <c r="SDA1" s="110"/>
      <c r="SDB1" s="110"/>
      <c r="SDC1" s="110"/>
      <c r="SDD1" s="110"/>
      <c r="SDE1" s="110"/>
      <c r="SDF1" s="110"/>
      <c r="SDG1" s="110"/>
      <c r="SDH1" s="110"/>
      <c r="SDI1" s="110"/>
      <c r="SDJ1" s="110"/>
      <c r="SDK1" s="110"/>
      <c r="SDL1" s="110"/>
      <c r="SDM1" s="110"/>
      <c r="SDN1" s="110"/>
      <c r="SDO1" s="110"/>
      <c r="SDP1" s="110"/>
      <c r="SDQ1" s="110"/>
      <c r="SDR1" s="110"/>
      <c r="SDS1" s="110"/>
      <c r="SDT1" s="110"/>
      <c r="SDU1" s="110"/>
      <c r="SDV1" s="110"/>
      <c r="SDW1" s="110"/>
      <c r="SDX1" s="110"/>
      <c r="SDY1" s="110"/>
      <c r="SDZ1" s="110"/>
      <c r="SEA1" s="110"/>
      <c r="SEB1" s="110"/>
      <c r="SEC1" s="110"/>
      <c r="SED1" s="110"/>
      <c r="SEE1" s="110"/>
      <c r="SEF1" s="110"/>
      <c r="SEG1" s="110"/>
      <c r="SEH1" s="110"/>
      <c r="SEI1" s="110"/>
      <c r="SEJ1" s="110"/>
      <c r="SEK1" s="110"/>
      <c r="SEL1" s="110"/>
      <c r="SEM1" s="110"/>
      <c r="SEN1" s="110"/>
      <c r="SEO1" s="110"/>
      <c r="SEP1" s="110"/>
      <c r="SEQ1" s="110"/>
      <c r="SER1" s="110"/>
      <c r="SES1" s="110"/>
      <c r="SET1" s="110"/>
      <c r="SEU1" s="110"/>
      <c r="SEV1" s="110"/>
      <c r="SEW1" s="110"/>
      <c r="SEX1" s="110"/>
      <c r="SEY1" s="110"/>
      <c r="SEZ1" s="110"/>
      <c r="SFA1" s="110"/>
      <c r="SFB1" s="110"/>
      <c r="SFC1" s="110"/>
      <c r="SFD1" s="110"/>
      <c r="SFE1" s="110"/>
      <c r="SFF1" s="110"/>
      <c r="SFG1" s="110"/>
      <c r="SFH1" s="110"/>
      <c r="SFI1" s="110"/>
      <c r="SFJ1" s="110"/>
      <c r="SFK1" s="110"/>
      <c r="SFL1" s="110"/>
      <c r="SFM1" s="110"/>
      <c r="SFN1" s="110"/>
      <c r="SFO1" s="110"/>
      <c r="SFP1" s="110"/>
      <c r="SFQ1" s="110"/>
      <c r="SFR1" s="110"/>
      <c r="SFS1" s="110"/>
      <c r="SFT1" s="110"/>
      <c r="SFU1" s="110"/>
      <c r="SFV1" s="110"/>
      <c r="SFW1" s="110"/>
      <c r="SFX1" s="110"/>
      <c r="SFY1" s="110"/>
      <c r="SFZ1" s="110"/>
      <c r="SGA1" s="110"/>
      <c r="SGB1" s="110"/>
      <c r="SGC1" s="110"/>
      <c r="SGD1" s="110"/>
      <c r="SGE1" s="110"/>
      <c r="SGF1" s="110"/>
      <c r="SGG1" s="110"/>
      <c r="SGH1" s="110"/>
      <c r="SGI1" s="110"/>
      <c r="SGJ1" s="110"/>
      <c r="SGK1" s="110"/>
      <c r="SGL1" s="110"/>
      <c r="SGM1" s="110"/>
      <c r="SGN1" s="110"/>
      <c r="SGO1" s="110"/>
      <c r="SGP1" s="110"/>
      <c r="SGQ1" s="110"/>
      <c r="SGR1" s="110"/>
      <c r="SGS1" s="110"/>
      <c r="SGT1" s="110"/>
      <c r="SGU1" s="110"/>
      <c r="SGV1" s="110"/>
      <c r="SGW1" s="110"/>
      <c r="SGX1" s="110"/>
      <c r="SGY1" s="110"/>
      <c r="SGZ1" s="110"/>
      <c r="SHA1" s="110"/>
      <c r="SHB1" s="110"/>
      <c r="SHC1" s="110"/>
      <c r="SHD1" s="110"/>
      <c r="SHE1" s="110"/>
      <c r="SHF1" s="110"/>
      <c r="SHG1" s="110"/>
      <c r="SHH1" s="110"/>
      <c r="SHI1" s="110"/>
      <c r="SHJ1" s="110"/>
      <c r="SHK1" s="110"/>
      <c r="SHL1" s="110"/>
      <c r="SHM1" s="110"/>
      <c r="SHN1" s="110"/>
      <c r="SHO1" s="110"/>
      <c r="SHP1" s="110"/>
      <c r="SHQ1" s="110"/>
      <c r="SHR1" s="110"/>
      <c r="SHS1" s="110"/>
      <c r="SHT1" s="110"/>
      <c r="SHU1" s="110"/>
      <c r="SHV1" s="110"/>
      <c r="SHW1" s="110"/>
      <c r="SHX1" s="110"/>
      <c r="SHY1" s="110"/>
      <c r="SHZ1" s="110"/>
      <c r="SIA1" s="110"/>
      <c r="SIB1" s="110"/>
      <c r="SIC1" s="110"/>
      <c r="SID1" s="110"/>
      <c r="SIE1" s="110"/>
      <c r="SIF1" s="110"/>
      <c r="SIG1" s="110"/>
      <c r="SIH1" s="110"/>
      <c r="SII1" s="110"/>
      <c r="SIJ1" s="110"/>
      <c r="SIK1" s="110"/>
      <c r="SIL1" s="110"/>
      <c r="SIM1" s="110"/>
      <c r="SIN1" s="110"/>
      <c r="SIO1" s="110"/>
      <c r="SIP1" s="110"/>
      <c r="SIQ1" s="110"/>
      <c r="SIR1" s="110"/>
      <c r="SIS1" s="110"/>
      <c r="SIT1" s="110"/>
      <c r="SIU1" s="110"/>
      <c r="SIV1" s="110"/>
      <c r="SIW1" s="110"/>
      <c r="SIX1" s="110"/>
      <c r="SIY1" s="110"/>
      <c r="SIZ1" s="110"/>
      <c r="SJA1" s="110"/>
      <c r="SJB1" s="110"/>
      <c r="SJC1" s="110"/>
      <c r="SJD1" s="110"/>
      <c r="SJE1" s="110"/>
      <c r="SJF1" s="110"/>
      <c r="SJG1" s="110"/>
      <c r="SJH1" s="110"/>
      <c r="SJI1" s="110"/>
      <c r="SJJ1" s="110"/>
      <c r="SJK1" s="110"/>
      <c r="SJL1" s="110"/>
      <c r="SJM1" s="110"/>
      <c r="SJN1" s="110"/>
      <c r="SJO1" s="110"/>
      <c r="SJP1" s="110"/>
      <c r="SJQ1" s="110"/>
      <c r="SJR1" s="110"/>
      <c r="SJS1" s="110"/>
      <c r="SJT1" s="110"/>
      <c r="SJU1" s="110"/>
      <c r="SJV1" s="110"/>
      <c r="SJW1" s="110"/>
      <c r="SJX1" s="110"/>
      <c r="SJY1" s="110"/>
      <c r="SJZ1" s="110"/>
      <c r="SKA1" s="110"/>
      <c r="SKB1" s="110"/>
      <c r="SKC1" s="110"/>
      <c r="SKD1" s="110"/>
      <c r="SKE1" s="110"/>
      <c r="SKF1" s="110"/>
      <c r="SKG1" s="110"/>
      <c r="SKH1" s="110"/>
      <c r="SKI1" s="110"/>
      <c r="SKJ1" s="110"/>
      <c r="SKK1" s="110"/>
      <c r="SKL1" s="110"/>
      <c r="SKM1" s="110"/>
      <c r="SKN1" s="110"/>
      <c r="SKO1" s="110"/>
      <c r="SKP1" s="110"/>
      <c r="SKQ1" s="110"/>
      <c r="SKR1" s="110"/>
      <c r="SKS1" s="110"/>
      <c r="SKT1" s="110"/>
      <c r="SKU1" s="110"/>
      <c r="SKV1" s="110"/>
      <c r="SKW1" s="110"/>
      <c r="SKX1" s="110"/>
      <c r="SKY1" s="110"/>
      <c r="SKZ1" s="110"/>
      <c r="SLA1" s="110"/>
      <c r="SLB1" s="110"/>
      <c r="SLC1" s="110"/>
      <c r="SLD1" s="110"/>
      <c r="SLE1" s="110"/>
      <c r="SLF1" s="110"/>
      <c r="SLG1" s="110"/>
      <c r="SLH1" s="110"/>
      <c r="SLI1" s="110"/>
      <c r="SLJ1" s="110"/>
      <c r="SLK1" s="110"/>
      <c r="SLL1" s="110"/>
      <c r="SLM1" s="110"/>
      <c r="SLN1" s="110"/>
      <c r="SLO1" s="110"/>
      <c r="SLP1" s="110"/>
      <c r="SLQ1" s="110"/>
      <c r="SLR1" s="110"/>
      <c r="SLS1" s="110"/>
      <c r="SLT1" s="110"/>
      <c r="SLU1" s="110"/>
      <c r="SLV1" s="110"/>
      <c r="SLW1" s="110"/>
      <c r="SLX1" s="110"/>
      <c r="SLY1" s="110"/>
      <c r="SLZ1" s="110"/>
      <c r="SMA1" s="110"/>
      <c r="SMB1" s="110"/>
      <c r="SMC1" s="110"/>
      <c r="SMD1" s="110"/>
      <c r="SME1" s="110"/>
      <c r="SMF1" s="110"/>
      <c r="SMG1" s="110"/>
      <c r="SMH1" s="110"/>
      <c r="SMI1" s="110"/>
      <c r="SMJ1" s="110"/>
      <c r="SMK1" s="110"/>
      <c r="SML1" s="110"/>
      <c r="SMM1" s="110"/>
      <c r="SMN1" s="110"/>
      <c r="SMO1" s="110"/>
      <c r="SMP1" s="110"/>
      <c r="SMQ1" s="110"/>
      <c r="SMR1" s="110"/>
      <c r="SMS1" s="110"/>
      <c r="SMT1" s="110"/>
      <c r="SMU1" s="110"/>
      <c r="SMV1" s="110"/>
      <c r="SMW1" s="110"/>
      <c r="SMX1" s="110"/>
      <c r="SMY1" s="110"/>
      <c r="SMZ1" s="110"/>
      <c r="SNA1" s="110"/>
      <c r="SNB1" s="110"/>
      <c r="SNC1" s="110"/>
      <c r="SND1" s="110"/>
      <c r="SNE1" s="110"/>
      <c r="SNF1" s="110"/>
      <c r="SNG1" s="110"/>
      <c r="SNH1" s="110"/>
      <c r="SNI1" s="110"/>
      <c r="SNJ1" s="110"/>
      <c r="SNK1" s="110"/>
      <c r="SNL1" s="110"/>
      <c r="SNM1" s="110"/>
      <c r="SNN1" s="110"/>
      <c r="SNO1" s="110"/>
      <c r="SNP1" s="110"/>
      <c r="SNQ1" s="110"/>
      <c r="SNR1" s="110"/>
      <c r="SNS1" s="110"/>
      <c r="SNT1" s="110"/>
      <c r="SNU1" s="110"/>
      <c r="SNV1" s="110"/>
      <c r="SNW1" s="110"/>
      <c r="SNX1" s="110"/>
      <c r="SNY1" s="110"/>
      <c r="SNZ1" s="110"/>
      <c r="SOA1" s="110"/>
      <c r="SOB1" s="110"/>
      <c r="SOC1" s="110"/>
      <c r="SOD1" s="110"/>
      <c r="SOE1" s="110"/>
      <c r="SOF1" s="110"/>
      <c r="SOG1" s="110"/>
      <c r="SOH1" s="110"/>
      <c r="SOI1" s="110"/>
      <c r="SOJ1" s="110"/>
      <c r="SOK1" s="110"/>
      <c r="SOL1" s="110"/>
      <c r="SOM1" s="110"/>
      <c r="SON1" s="110"/>
      <c r="SOO1" s="110"/>
      <c r="SOP1" s="110"/>
      <c r="SOQ1" s="110"/>
      <c r="SOR1" s="110"/>
      <c r="SOS1" s="110"/>
      <c r="SOT1" s="110"/>
      <c r="SOU1" s="110"/>
      <c r="SOV1" s="110"/>
      <c r="SOW1" s="110"/>
      <c r="SOX1" s="110"/>
      <c r="SOY1" s="110"/>
      <c r="SOZ1" s="110"/>
      <c r="SPA1" s="110"/>
      <c r="SPB1" s="110"/>
      <c r="SPC1" s="110"/>
      <c r="SPD1" s="110"/>
      <c r="SPE1" s="110"/>
      <c r="SPF1" s="110"/>
      <c r="SPG1" s="110"/>
      <c r="SPH1" s="110"/>
      <c r="SPI1" s="110"/>
      <c r="SPJ1" s="110"/>
      <c r="SPK1" s="110"/>
      <c r="SPL1" s="110"/>
      <c r="SPM1" s="110"/>
      <c r="SPN1" s="110"/>
      <c r="SPO1" s="110"/>
      <c r="SPP1" s="110"/>
      <c r="SPQ1" s="110"/>
      <c r="SPR1" s="110"/>
      <c r="SPS1" s="110"/>
      <c r="SPT1" s="110"/>
      <c r="SPU1" s="110"/>
      <c r="SPV1" s="110"/>
      <c r="SPW1" s="110"/>
      <c r="SPX1" s="110"/>
      <c r="SPY1" s="110"/>
      <c r="SPZ1" s="110"/>
      <c r="SQA1" s="110"/>
      <c r="SQB1" s="110"/>
      <c r="SQC1" s="110"/>
      <c r="SQD1" s="110"/>
      <c r="SQE1" s="110"/>
      <c r="SQF1" s="110"/>
      <c r="SQG1" s="110"/>
      <c r="SQH1" s="110"/>
      <c r="SQI1" s="110"/>
      <c r="SQJ1" s="110"/>
      <c r="SQK1" s="110"/>
      <c r="SQL1" s="110"/>
      <c r="SQM1" s="110"/>
      <c r="SQN1" s="110"/>
      <c r="SQO1" s="110"/>
      <c r="SQP1" s="110"/>
      <c r="SQQ1" s="110"/>
      <c r="SQR1" s="110"/>
      <c r="SQS1" s="110"/>
      <c r="SQT1" s="110"/>
      <c r="SQU1" s="110"/>
      <c r="SQV1" s="110"/>
      <c r="SQW1" s="110"/>
      <c r="SQX1" s="110"/>
      <c r="SQY1" s="110"/>
      <c r="SQZ1" s="110"/>
      <c r="SRA1" s="110"/>
      <c r="SRB1" s="110"/>
      <c r="SRC1" s="110"/>
      <c r="SRD1" s="110"/>
      <c r="SRE1" s="110"/>
      <c r="SRF1" s="110"/>
      <c r="SRG1" s="110"/>
      <c r="SRH1" s="110"/>
      <c r="SRI1" s="110"/>
      <c r="SRJ1" s="110"/>
      <c r="SRK1" s="110"/>
      <c r="SRL1" s="110"/>
      <c r="SRM1" s="110"/>
      <c r="SRN1" s="110"/>
      <c r="SRO1" s="110"/>
      <c r="SRP1" s="110"/>
      <c r="SRQ1" s="110"/>
      <c r="SRR1" s="110"/>
      <c r="SRS1" s="110"/>
      <c r="SRT1" s="110"/>
      <c r="SRU1" s="110"/>
      <c r="SRV1" s="110"/>
      <c r="SRW1" s="110"/>
      <c r="SRX1" s="110"/>
      <c r="SRY1" s="110"/>
      <c r="SRZ1" s="110"/>
      <c r="SSA1" s="110"/>
      <c r="SSB1" s="110"/>
      <c r="SSC1" s="110"/>
      <c r="SSD1" s="110"/>
      <c r="SSE1" s="110"/>
      <c r="SSF1" s="110"/>
      <c r="SSG1" s="110"/>
      <c r="SSH1" s="110"/>
      <c r="SSI1" s="110"/>
      <c r="SSJ1" s="110"/>
      <c r="SSK1" s="110"/>
      <c r="SSL1" s="110"/>
      <c r="SSM1" s="110"/>
      <c r="SSN1" s="110"/>
      <c r="SSO1" s="110"/>
      <c r="SSP1" s="110"/>
      <c r="SSQ1" s="110"/>
      <c r="SSR1" s="110"/>
      <c r="SSS1" s="110"/>
      <c r="SST1" s="110"/>
      <c r="SSU1" s="110"/>
      <c r="SSV1" s="110"/>
      <c r="SSW1" s="110"/>
      <c r="SSX1" s="110"/>
      <c r="SSY1" s="110"/>
      <c r="SSZ1" s="110"/>
      <c r="STA1" s="110"/>
      <c r="STB1" s="110"/>
      <c r="STC1" s="110"/>
      <c r="STD1" s="110"/>
      <c r="STE1" s="110"/>
      <c r="STF1" s="110"/>
      <c r="STG1" s="110"/>
      <c r="STH1" s="110"/>
      <c r="STI1" s="110"/>
      <c r="STJ1" s="110"/>
      <c r="STK1" s="110"/>
      <c r="STL1" s="110"/>
      <c r="STM1" s="110"/>
      <c r="STN1" s="110"/>
      <c r="STO1" s="110"/>
      <c r="STP1" s="110"/>
      <c r="STQ1" s="110"/>
      <c r="STR1" s="110"/>
      <c r="STS1" s="110"/>
      <c r="STT1" s="110"/>
      <c r="STU1" s="110"/>
      <c r="STV1" s="110"/>
      <c r="STW1" s="110"/>
      <c r="STX1" s="110"/>
      <c r="STY1" s="110"/>
      <c r="STZ1" s="110"/>
      <c r="SUA1" s="110"/>
      <c r="SUB1" s="110"/>
      <c r="SUC1" s="110"/>
      <c r="SUD1" s="110"/>
      <c r="SUE1" s="110"/>
      <c r="SUF1" s="110"/>
      <c r="SUG1" s="110"/>
      <c r="SUH1" s="110"/>
      <c r="SUI1" s="110"/>
      <c r="SUJ1" s="110"/>
      <c r="SUK1" s="110"/>
      <c r="SUL1" s="110"/>
      <c r="SUM1" s="110"/>
      <c r="SUN1" s="110"/>
      <c r="SUO1" s="110"/>
      <c r="SUP1" s="110"/>
      <c r="SUQ1" s="110"/>
      <c r="SUR1" s="110"/>
      <c r="SUS1" s="110"/>
      <c r="SUT1" s="110"/>
      <c r="SUU1" s="110"/>
      <c r="SUV1" s="110"/>
      <c r="SUW1" s="110"/>
      <c r="SUX1" s="110"/>
      <c r="SUY1" s="110"/>
      <c r="SUZ1" s="110"/>
      <c r="SVA1" s="110"/>
      <c r="SVB1" s="110"/>
      <c r="SVC1" s="110"/>
      <c r="SVD1" s="110"/>
      <c r="SVE1" s="110"/>
      <c r="SVF1" s="110"/>
      <c r="SVG1" s="110"/>
      <c r="SVH1" s="110"/>
      <c r="SVI1" s="110"/>
      <c r="SVJ1" s="110"/>
      <c r="SVK1" s="110"/>
      <c r="SVL1" s="110"/>
      <c r="SVM1" s="110"/>
      <c r="SVN1" s="110"/>
      <c r="SVO1" s="110"/>
      <c r="SVP1" s="110"/>
      <c r="SVQ1" s="110"/>
      <c r="SVR1" s="110"/>
      <c r="SVS1" s="110"/>
      <c r="SVT1" s="110"/>
      <c r="SVU1" s="110"/>
      <c r="SVV1" s="110"/>
      <c r="SVW1" s="110"/>
      <c r="SVX1" s="110"/>
      <c r="SVY1" s="110"/>
      <c r="SVZ1" s="110"/>
      <c r="SWA1" s="110"/>
      <c r="SWB1" s="110"/>
      <c r="SWC1" s="110"/>
      <c r="SWD1" s="110"/>
      <c r="SWE1" s="110"/>
      <c r="SWF1" s="110"/>
      <c r="SWG1" s="110"/>
      <c r="SWH1" s="110"/>
      <c r="SWI1" s="110"/>
      <c r="SWJ1" s="110"/>
      <c r="SWK1" s="110"/>
      <c r="SWL1" s="110"/>
      <c r="SWM1" s="110"/>
      <c r="SWN1" s="110"/>
      <c r="SWO1" s="110"/>
      <c r="SWP1" s="110"/>
      <c r="SWQ1" s="110"/>
      <c r="SWR1" s="110"/>
      <c r="SWS1" s="110"/>
      <c r="SWT1" s="110"/>
      <c r="SWU1" s="110"/>
      <c r="SWV1" s="110"/>
      <c r="SWW1" s="110"/>
      <c r="SWX1" s="110"/>
      <c r="SWY1" s="110"/>
      <c r="SWZ1" s="110"/>
      <c r="SXA1" s="110"/>
      <c r="SXB1" s="110"/>
      <c r="SXC1" s="110"/>
      <c r="SXD1" s="110"/>
      <c r="SXE1" s="110"/>
      <c r="SXF1" s="110"/>
      <c r="SXG1" s="110"/>
      <c r="SXH1" s="110"/>
      <c r="SXI1" s="110"/>
      <c r="SXJ1" s="110"/>
      <c r="SXK1" s="110"/>
      <c r="SXL1" s="110"/>
      <c r="SXM1" s="110"/>
      <c r="SXN1" s="110"/>
      <c r="SXO1" s="110"/>
      <c r="SXP1" s="110"/>
      <c r="SXQ1" s="110"/>
      <c r="SXR1" s="110"/>
      <c r="SXS1" s="110"/>
      <c r="SXT1" s="110"/>
      <c r="SXU1" s="110"/>
      <c r="SXV1" s="110"/>
      <c r="SXW1" s="110"/>
      <c r="SXX1" s="110"/>
      <c r="SXY1" s="110"/>
      <c r="SXZ1" s="110"/>
      <c r="SYA1" s="110"/>
      <c r="SYB1" s="110"/>
      <c r="SYC1" s="110"/>
      <c r="SYD1" s="110"/>
      <c r="SYE1" s="110"/>
      <c r="SYF1" s="110"/>
      <c r="SYG1" s="110"/>
      <c r="SYH1" s="110"/>
      <c r="SYI1" s="110"/>
      <c r="SYJ1" s="110"/>
      <c r="SYK1" s="110"/>
      <c r="SYL1" s="110"/>
      <c r="SYM1" s="110"/>
      <c r="SYN1" s="110"/>
      <c r="SYO1" s="110"/>
      <c r="SYP1" s="110"/>
      <c r="SYQ1" s="110"/>
      <c r="SYR1" s="110"/>
      <c r="SYS1" s="110"/>
      <c r="SYT1" s="110"/>
      <c r="SYU1" s="110"/>
      <c r="SYV1" s="110"/>
      <c r="SYW1" s="110"/>
      <c r="SYX1" s="110"/>
      <c r="SYY1" s="110"/>
      <c r="SYZ1" s="110"/>
      <c r="SZA1" s="110"/>
      <c r="SZB1" s="110"/>
      <c r="SZC1" s="110"/>
      <c r="SZD1" s="110"/>
      <c r="SZE1" s="110"/>
      <c r="SZF1" s="110"/>
      <c r="SZG1" s="110"/>
      <c r="SZH1" s="110"/>
      <c r="SZI1" s="110"/>
      <c r="SZJ1" s="110"/>
      <c r="SZK1" s="110"/>
      <c r="SZL1" s="110"/>
      <c r="SZM1" s="110"/>
      <c r="SZN1" s="110"/>
      <c r="SZO1" s="110"/>
      <c r="SZP1" s="110"/>
      <c r="SZQ1" s="110"/>
      <c r="SZR1" s="110"/>
      <c r="SZS1" s="110"/>
      <c r="SZT1" s="110"/>
      <c r="SZU1" s="110"/>
      <c r="SZV1" s="110"/>
      <c r="SZW1" s="110"/>
      <c r="SZX1" s="110"/>
      <c r="SZY1" s="110"/>
      <c r="SZZ1" s="110"/>
      <c r="TAA1" s="110"/>
      <c r="TAB1" s="110"/>
      <c r="TAC1" s="110"/>
      <c r="TAD1" s="110"/>
      <c r="TAE1" s="110"/>
      <c r="TAF1" s="110"/>
      <c r="TAG1" s="110"/>
      <c r="TAH1" s="110"/>
      <c r="TAI1" s="110"/>
      <c r="TAJ1" s="110"/>
      <c r="TAK1" s="110"/>
      <c r="TAL1" s="110"/>
      <c r="TAM1" s="110"/>
      <c r="TAN1" s="110"/>
      <c r="TAO1" s="110"/>
      <c r="TAP1" s="110"/>
      <c r="TAQ1" s="110"/>
      <c r="TAR1" s="110"/>
      <c r="TAS1" s="110"/>
      <c r="TAT1" s="110"/>
      <c r="TAU1" s="110"/>
      <c r="TAV1" s="110"/>
      <c r="TAW1" s="110"/>
      <c r="TAX1" s="110"/>
      <c r="TAY1" s="110"/>
      <c r="TAZ1" s="110"/>
      <c r="TBA1" s="110"/>
      <c r="TBB1" s="110"/>
      <c r="TBC1" s="110"/>
      <c r="TBD1" s="110"/>
      <c r="TBE1" s="110"/>
      <c r="TBF1" s="110"/>
      <c r="TBG1" s="110"/>
      <c r="TBH1" s="110"/>
      <c r="TBI1" s="110"/>
      <c r="TBJ1" s="110"/>
      <c r="TBK1" s="110"/>
      <c r="TBL1" s="110"/>
      <c r="TBM1" s="110"/>
      <c r="TBN1" s="110"/>
      <c r="TBO1" s="110"/>
      <c r="TBP1" s="110"/>
      <c r="TBQ1" s="110"/>
      <c r="TBR1" s="110"/>
      <c r="TBS1" s="110"/>
      <c r="TBT1" s="110"/>
      <c r="TBU1" s="110"/>
      <c r="TBV1" s="110"/>
      <c r="TBW1" s="110"/>
      <c r="TBX1" s="110"/>
      <c r="TBY1" s="110"/>
      <c r="TBZ1" s="110"/>
      <c r="TCA1" s="110"/>
      <c r="TCB1" s="110"/>
      <c r="TCC1" s="110"/>
      <c r="TCD1" s="110"/>
      <c r="TCE1" s="110"/>
      <c r="TCF1" s="110"/>
      <c r="TCG1" s="110"/>
      <c r="TCH1" s="110"/>
      <c r="TCI1" s="110"/>
      <c r="TCJ1" s="110"/>
      <c r="TCK1" s="110"/>
      <c r="TCL1" s="110"/>
      <c r="TCM1" s="110"/>
      <c r="TCN1" s="110"/>
      <c r="TCO1" s="110"/>
      <c r="TCP1" s="110"/>
      <c r="TCQ1" s="110"/>
      <c r="TCR1" s="110"/>
      <c r="TCS1" s="110"/>
      <c r="TCT1" s="110"/>
      <c r="TCU1" s="110"/>
      <c r="TCV1" s="110"/>
      <c r="TCW1" s="110"/>
      <c r="TCX1" s="110"/>
      <c r="TCY1" s="110"/>
      <c r="TCZ1" s="110"/>
      <c r="TDA1" s="110"/>
      <c r="TDB1" s="110"/>
      <c r="TDC1" s="110"/>
      <c r="TDD1" s="110"/>
      <c r="TDE1" s="110"/>
      <c r="TDF1" s="110"/>
      <c r="TDG1" s="110"/>
      <c r="TDH1" s="110"/>
      <c r="TDI1" s="110"/>
      <c r="TDJ1" s="110"/>
      <c r="TDK1" s="110"/>
      <c r="TDL1" s="110"/>
      <c r="TDM1" s="110"/>
      <c r="TDN1" s="110"/>
      <c r="TDO1" s="110"/>
      <c r="TDP1" s="110"/>
      <c r="TDQ1" s="110"/>
      <c r="TDR1" s="110"/>
      <c r="TDS1" s="110"/>
      <c r="TDT1" s="110"/>
      <c r="TDU1" s="110"/>
      <c r="TDV1" s="110"/>
      <c r="TDW1" s="110"/>
      <c r="TDX1" s="110"/>
      <c r="TDY1" s="110"/>
      <c r="TDZ1" s="110"/>
      <c r="TEA1" s="110"/>
      <c r="TEB1" s="110"/>
      <c r="TEC1" s="110"/>
      <c r="TED1" s="110"/>
      <c r="TEE1" s="110"/>
      <c r="TEF1" s="110"/>
      <c r="TEG1" s="110"/>
      <c r="TEH1" s="110"/>
      <c r="TEI1" s="110"/>
      <c r="TEJ1" s="110"/>
      <c r="TEK1" s="110"/>
      <c r="TEL1" s="110"/>
      <c r="TEM1" s="110"/>
      <c r="TEN1" s="110"/>
      <c r="TEO1" s="110"/>
      <c r="TEP1" s="110"/>
      <c r="TEQ1" s="110"/>
      <c r="TER1" s="110"/>
      <c r="TES1" s="110"/>
      <c r="TET1" s="110"/>
      <c r="TEU1" s="110"/>
      <c r="TEV1" s="110"/>
      <c r="TEW1" s="110"/>
      <c r="TEX1" s="110"/>
      <c r="TEY1" s="110"/>
      <c r="TEZ1" s="110"/>
      <c r="TFA1" s="110"/>
      <c r="TFB1" s="110"/>
      <c r="TFC1" s="110"/>
      <c r="TFD1" s="110"/>
      <c r="TFE1" s="110"/>
      <c r="TFF1" s="110"/>
      <c r="TFG1" s="110"/>
      <c r="TFH1" s="110"/>
      <c r="TFI1" s="110"/>
      <c r="TFJ1" s="110"/>
      <c r="TFK1" s="110"/>
      <c r="TFL1" s="110"/>
      <c r="TFM1" s="110"/>
      <c r="TFN1" s="110"/>
      <c r="TFO1" s="110"/>
      <c r="TFP1" s="110"/>
      <c r="TFQ1" s="110"/>
      <c r="TFR1" s="110"/>
      <c r="TFS1" s="110"/>
      <c r="TFT1" s="110"/>
      <c r="TFU1" s="110"/>
      <c r="TFV1" s="110"/>
      <c r="TFW1" s="110"/>
      <c r="TFX1" s="110"/>
      <c r="TFY1" s="110"/>
      <c r="TFZ1" s="110"/>
      <c r="TGA1" s="110"/>
      <c r="TGB1" s="110"/>
      <c r="TGC1" s="110"/>
      <c r="TGD1" s="110"/>
      <c r="TGE1" s="110"/>
      <c r="TGF1" s="110"/>
      <c r="TGG1" s="110"/>
      <c r="TGH1" s="110"/>
      <c r="TGI1" s="110"/>
      <c r="TGJ1" s="110"/>
      <c r="TGK1" s="110"/>
      <c r="TGL1" s="110"/>
      <c r="TGM1" s="110"/>
      <c r="TGN1" s="110"/>
      <c r="TGO1" s="110"/>
      <c r="TGP1" s="110"/>
      <c r="TGQ1" s="110"/>
      <c r="TGR1" s="110"/>
      <c r="TGS1" s="110"/>
      <c r="TGT1" s="110"/>
      <c r="TGU1" s="110"/>
      <c r="TGV1" s="110"/>
      <c r="TGW1" s="110"/>
      <c r="TGX1" s="110"/>
      <c r="TGY1" s="110"/>
      <c r="TGZ1" s="110"/>
      <c r="THA1" s="110"/>
      <c r="THB1" s="110"/>
      <c r="THC1" s="110"/>
      <c r="THD1" s="110"/>
      <c r="THE1" s="110"/>
      <c r="THF1" s="110"/>
      <c r="THG1" s="110"/>
      <c r="THH1" s="110"/>
      <c r="THI1" s="110"/>
      <c r="THJ1" s="110"/>
      <c r="THK1" s="110"/>
      <c r="THL1" s="110"/>
      <c r="THM1" s="110"/>
      <c r="THN1" s="110"/>
      <c r="THO1" s="110"/>
      <c r="THP1" s="110"/>
      <c r="THQ1" s="110"/>
      <c r="THR1" s="110"/>
      <c r="THS1" s="110"/>
      <c r="THT1" s="110"/>
      <c r="THU1" s="110"/>
      <c r="THV1" s="110"/>
      <c r="THW1" s="110"/>
      <c r="THX1" s="110"/>
      <c r="THY1" s="110"/>
      <c r="THZ1" s="110"/>
      <c r="TIA1" s="110"/>
      <c r="TIB1" s="110"/>
      <c r="TIC1" s="110"/>
      <c r="TID1" s="110"/>
      <c r="TIE1" s="110"/>
      <c r="TIF1" s="110"/>
      <c r="TIG1" s="110"/>
      <c r="TIH1" s="110"/>
      <c r="TII1" s="110"/>
      <c r="TIJ1" s="110"/>
      <c r="TIK1" s="110"/>
      <c r="TIL1" s="110"/>
      <c r="TIM1" s="110"/>
      <c r="TIN1" s="110"/>
      <c r="TIO1" s="110"/>
      <c r="TIP1" s="110"/>
      <c r="TIQ1" s="110"/>
      <c r="TIR1" s="110"/>
      <c r="TIS1" s="110"/>
      <c r="TIT1" s="110"/>
      <c r="TIU1" s="110"/>
      <c r="TIV1" s="110"/>
      <c r="TIW1" s="110"/>
      <c r="TIX1" s="110"/>
      <c r="TIY1" s="110"/>
      <c r="TIZ1" s="110"/>
      <c r="TJA1" s="110"/>
      <c r="TJB1" s="110"/>
      <c r="TJC1" s="110"/>
      <c r="TJD1" s="110"/>
      <c r="TJE1" s="110"/>
      <c r="TJF1" s="110"/>
      <c r="TJG1" s="110"/>
      <c r="TJH1" s="110"/>
      <c r="TJI1" s="110"/>
      <c r="TJJ1" s="110"/>
      <c r="TJK1" s="110"/>
      <c r="TJL1" s="110"/>
      <c r="TJM1" s="110"/>
      <c r="TJN1" s="110"/>
      <c r="TJO1" s="110"/>
      <c r="TJP1" s="110"/>
      <c r="TJQ1" s="110"/>
      <c r="TJR1" s="110"/>
      <c r="TJS1" s="110"/>
      <c r="TJT1" s="110"/>
      <c r="TJU1" s="110"/>
      <c r="TJV1" s="110"/>
      <c r="TJW1" s="110"/>
      <c r="TJX1" s="110"/>
      <c r="TJY1" s="110"/>
      <c r="TJZ1" s="110"/>
      <c r="TKA1" s="110"/>
      <c r="TKB1" s="110"/>
      <c r="TKC1" s="110"/>
      <c r="TKD1" s="110"/>
      <c r="TKE1" s="110"/>
      <c r="TKF1" s="110"/>
      <c r="TKG1" s="110"/>
      <c r="TKH1" s="110"/>
      <c r="TKI1" s="110"/>
      <c r="TKJ1" s="110"/>
      <c r="TKK1" s="110"/>
      <c r="TKL1" s="110"/>
      <c r="TKM1" s="110"/>
      <c r="TKN1" s="110"/>
      <c r="TKO1" s="110"/>
      <c r="TKP1" s="110"/>
      <c r="TKQ1" s="110"/>
      <c r="TKR1" s="110"/>
      <c r="TKS1" s="110"/>
      <c r="TKT1" s="110"/>
      <c r="TKU1" s="110"/>
      <c r="TKV1" s="110"/>
      <c r="TKW1" s="110"/>
      <c r="TKX1" s="110"/>
      <c r="TKY1" s="110"/>
      <c r="TKZ1" s="110"/>
      <c r="TLA1" s="110"/>
      <c r="TLB1" s="110"/>
      <c r="TLC1" s="110"/>
      <c r="TLD1" s="110"/>
      <c r="TLE1" s="110"/>
      <c r="TLF1" s="110"/>
      <c r="TLG1" s="110"/>
      <c r="TLH1" s="110"/>
      <c r="TLI1" s="110"/>
      <c r="TLJ1" s="110"/>
      <c r="TLK1" s="110"/>
      <c r="TLL1" s="110"/>
      <c r="TLM1" s="110"/>
      <c r="TLN1" s="110"/>
      <c r="TLO1" s="110"/>
      <c r="TLP1" s="110"/>
      <c r="TLQ1" s="110"/>
      <c r="TLR1" s="110"/>
      <c r="TLS1" s="110"/>
      <c r="TLT1" s="110"/>
      <c r="TLU1" s="110"/>
      <c r="TLV1" s="110"/>
      <c r="TLW1" s="110"/>
      <c r="TLX1" s="110"/>
      <c r="TLY1" s="110"/>
      <c r="TLZ1" s="110"/>
      <c r="TMA1" s="110"/>
      <c r="TMB1" s="110"/>
      <c r="TMC1" s="110"/>
      <c r="TMD1" s="110"/>
      <c r="TME1" s="110"/>
      <c r="TMF1" s="110"/>
      <c r="TMG1" s="110"/>
      <c r="TMH1" s="110"/>
      <c r="TMI1" s="110"/>
      <c r="TMJ1" s="110"/>
      <c r="TMK1" s="110"/>
      <c r="TML1" s="110"/>
      <c r="TMM1" s="110"/>
      <c r="TMN1" s="110"/>
      <c r="TMO1" s="110"/>
      <c r="TMP1" s="110"/>
      <c r="TMQ1" s="110"/>
      <c r="TMR1" s="110"/>
      <c r="TMS1" s="110"/>
      <c r="TMT1" s="110"/>
      <c r="TMU1" s="110"/>
      <c r="TMV1" s="110"/>
      <c r="TMW1" s="110"/>
      <c r="TMX1" s="110"/>
      <c r="TMY1" s="110"/>
      <c r="TMZ1" s="110"/>
      <c r="TNA1" s="110"/>
      <c r="TNB1" s="110"/>
      <c r="TNC1" s="110"/>
      <c r="TND1" s="110"/>
      <c r="TNE1" s="110"/>
      <c r="TNF1" s="110"/>
      <c r="TNG1" s="110"/>
      <c r="TNH1" s="110"/>
      <c r="TNI1" s="110"/>
      <c r="TNJ1" s="110"/>
      <c r="TNK1" s="110"/>
      <c r="TNL1" s="110"/>
      <c r="TNM1" s="110"/>
      <c r="TNN1" s="110"/>
      <c r="TNO1" s="110"/>
      <c r="TNP1" s="110"/>
      <c r="TNQ1" s="110"/>
      <c r="TNR1" s="110"/>
      <c r="TNS1" s="110"/>
      <c r="TNT1" s="110"/>
      <c r="TNU1" s="110"/>
      <c r="TNV1" s="110"/>
      <c r="TNW1" s="110"/>
      <c r="TNX1" s="110"/>
      <c r="TNY1" s="110"/>
      <c r="TNZ1" s="110"/>
      <c r="TOA1" s="110"/>
      <c r="TOB1" s="110"/>
      <c r="TOC1" s="110"/>
      <c r="TOD1" s="110"/>
      <c r="TOE1" s="110"/>
      <c r="TOF1" s="110"/>
      <c r="TOG1" s="110"/>
      <c r="TOH1" s="110"/>
      <c r="TOI1" s="110"/>
      <c r="TOJ1" s="110"/>
      <c r="TOK1" s="110"/>
      <c r="TOL1" s="110"/>
      <c r="TOM1" s="110"/>
      <c r="TON1" s="110"/>
      <c r="TOO1" s="110"/>
      <c r="TOP1" s="110"/>
      <c r="TOQ1" s="110"/>
      <c r="TOR1" s="110"/>
      <c r="TOS1" s="110"/>
      <c r="TOT1" s="110"/>
      <c r="TOU1" s="110"/>
      <c r="TOV1" s="110"/>
      <c r="TOW1" s="110"/>
      <c r="TOX1" s="110"/>
      <c r="TOY1" s="110"/>
      <c r="TOZ1" s="110"/>
      <c r="TPA1" s="110"/>
      <c r="TPB1" s="110"/>
      <c r="TPC1" s="110"/>
      <c r="TPD1" s="110"/>
      <c r="TPE1" s="110"/>
      <c r="TPF1" s="110"/>
      <c r="TPG1" s="110"/>
      <c r="TPH1" s="110"/>
      <c r="TPI1" s="110"/>
      <c r="TPJ1" s="110"/>
      <c r="TPK1" s="110"/>
      <c r="TPL1" s="110"/>
      <c r="TPM1" s="110"/>
      <c r="TPN1" s="110"/>
      <c r="TPO1" s="110"/>
      <c r="TPP1" s="110"/>
      <c r="TPQ1" s="110"/>
      <c r="TPR1" s="110"/>
      <c r="TPS1" s="110"/>
      <c r="TPT1" s="110"/>
      <c r="TPU1" s="110"/>
      <c r="TPV1" s="110"/>
      <c r="TPW1" s="110"/>
      <c r="TPX1" s="110"/>
      <c r="TPY1" s="110"/>
      <c r="TPZ1" s="110"/>
      <c r="TQA1" s="110"/>
      <c r="TQB1" s="110"/>
      <c r="TQC1" s="110"/>
      <c r="TQD1" s="110"/>
      <c r="TQE1" s="110"/>
      <c r="TQF1" s="110"/>
      <c r="TQG1" s="110"/>
      <c r="TQH1" s="110"/>
      <c r="TQI1" s="110"/>
      <c r="TQJ1" s="110"/>
      <c r="TQK1" s="110"/>
      <c r="TQL1" s="110"/>
      <c r="TQM1" s="110"/>
      <c r="TQN1" s="110"/>
      <c r="TQO1" s="110"/>
      <c r="TQP1" s="110"/>
      <c r="TQQ1" s="110"/>
      <c r="TQR1" s="110"/>
      <c r="TQS1" s="110"/>
      <c r="TQT1" s="110"/>
      <c r="TQU1" s="110"/>
      <c r="TQV1" s="110"/>
      <c r="TQW1" s="110"/>
      <c r="TQX1" s="110"/>
      <c r="TQY1" s="110"/>
      <c r="TQZ1" s="110"/>
      <c r="TRA1" s="110"/>
      <c r="TRB1" s="110"/>
      <c r="TRC1" s="110"/>
      <c r="TRD1" s="110"/>
      <c r="TRE1" s="110"/>
      <c r="TRF1" s="110"/>
      <c r="TRG1" s="110"/>
      <c r="TRH1" s="110"/>
      <c r="TRI1" s="110"/>
      <c r="TRJ1" s="110"/>
      <c r="TRK1" s="110"/>
      <c r="TRL1" s="110"/>
      <c r="TRM1" s="110"/>
      <c r="TRN1" s="110"/>
      <c r="TRO1" s="110"/>
      <c r="TRP1" s="110"/>
      <c r="TRQ1" s="110"/>
      <c r="TRR1" s="110"/>
      <c r="TRS1" s="110"/>
      <c r="TRT1" s="110"/>
      <c r="TRU1" s="110"/>
      <c r="TRV1" s="110"/>
      <c r="TRW1" s="110"/>
      <c r="TRX1" s="110"/>
      <c r="TRY1" s="110"/>
      <c r="TRZ1" s="110"/>
      <c r="TSA1" s="110"/>
      <c r="TSB1" s="110"/>
      <c r="TSC1" s="110"/>
      <c r="TSD1" s="110"/>
      <c r="TSE1" s="110"/>
      <c r="TSF1" s="110"/>
      <c r="TSG1" s="110"/>
      <c r="TSH1" s="110"/>
      <c r="TSI1" s="110"/>
      <c r="TSJ1" s="110"/>
      <c r="TSK1" s="110"/>
      <c r="TSL1" s="110"/>
      <c r="TSM1" s="110"/>
      <c r="TSN1" s="110"/>
      <c r="TSO1" s="110"/>
      <c r="TSP1" s="110"/>
      <c r="TSQ1" s="110"/>
      <c r="TSR1" s="110"/>
      <c r="TSS1" s="110"/>
      <c r="TST1" s="110"/>
      <c r="TSU1" s="110"/>
      <c r="TSV1" s="110"/>
      <c r="TSW1" s="110"/>
      <c r="TSX1" s="110"/>
      <c r="TSY1" s="110"/>
      <c r="TSZ1" s="110"/>
      <c r="TTA1" s="110"/>
      <c r="TTB1" s="110"/>
      <c r="TTC1" s="110"/>
      <c r="TTD1" s="110"/>
      <c r="TTE1" s="110"/>
      <c r="TTF1" s="110"/>
      <c r="TTG1" s="110"/>
      <c r="TTH1" s="110"/>
      <c r="TTI1" s="110"/>
      <c r="TTJ1" s="110"/>
      <c r="TTK1" s="110"/>
      <c r="TTL1" s="110"/>
      <c r="TTM1" s="110"/>
      <c r="TTN1" s="110"/>
      <c r="TTO1" s="110"/>
      <c r="TTP1" s="110"/>
      <c r="TTQ1" s="110"/>
      <c r="TTR1" s="110"/>
      <c r="TTS1" s="110"/>
      <c r="TTT1" s="110"/>
      <c r="TTU1" s="110"/>
      <c r="TTV1" s="110"/>
      <c r="TTW1" s="110"/>
      <c r="TTX1" s="110"/>
      <c r="TTY1" s="110"/>
      <c r="TTZ1" s="110"/>
      <c r="TUA1" s="110"/>
      <c r="TUB1" s="110"/>
      <c r="TUC1" s="110"/>
      <c r="TUD1" s="110"/>
      <c r="TUE1" s="110"/>
      <c r="TUF1" s="110"/>
      <c r="TUG1" s="110"/>
      <c r="TUH1" s="110"/>
      <c r="TUI1" s="110"/>
      <c r="TUJ1" s="110"/>
      <c r="TUK1" s="110"/>
      <c r="TUL1" s="110"/>
      <c r="TUM1" s="110"/>
      <c r="TUN1" s="110"/>
      <c r="TUO1" s="110"/>
      <c r="TUP1" s="110"/>
      <c r="TUQ1" s="110"/>
      <c r="TUR1" s="110"/>
      <c r="TUS1" s="110"/>
      <c r="TUT1" s="110"/>
      <c r="TUU1" s="110"/>
      <c r="TUV1" s="110"/>
      <c r="TUW1" s="110"/>
      <c r="TUX1" s="110"/>
      <c r="TUY1" s="110"/>
      <c r="TUZ1" s="110"/>
      <c r="TVA1" s="110"/>
      <c r="TVB1" s="110"/>
      <c r="TVC1" s="110"/>
      <c r="TVD1" s="110"/>
      <c r="TVE1" s="110"/>
      <c r="TVF1" s="110"/>
      <c r="TVG1" s="110"/>
      <c r="TVH1" s="110"/>
      <c r="TVI1" s="110"/>
      <c r="TVJ1" s="110"/>
      <c r="TVK1" s="110"/>
      <c r="TVL1" s="110"/>
      <c r="TVM1" s="110"/>
      <c r="TVN1" s="110"/>
      <c r="TVO1" s="110"/>
      <c r="TVP1" s="110"/>
      <c r="TVQ1" s="110"/>
      <c r="TVR1" s="110"/>
      <c r="TVS1" s="110"/>
      <c r="TVT1" s="110"/>
      <c r="TVU1" s="110"/>
      <c r="TVV1" s="110"/>
      <c r="TVW1" s="110"/>
      <c r="TVX1" s="110"/>
      <c r="TVY1" s="110"/>
      <c r="TVZ1" s="110"/>
      <c r="TWA1" s="110"/>
      <c r="TWB1" s="110"/>
      <c r="TWC1" s="110"/>
      <c r="TWD1" s="110"/>
      <c r="TWE1" s="110"/>
      <c r="TWF1" s="110"/>
      <c r="TWG1" s="110"/>
      <c r="TWH1" s="110"/>
      <c r="TWI1" s="110"/>
      <c r="TWJ1" s="110"/>
      <c r="TWK1" s="110"/>
      <c r="TWL1" s="110"/>
      <c r="TWM1" s="110"/>
      <c r="TWN1" s="110"/>
      <c r="TWO1" s="110"/>
      <c r="TWP1" s="110"/>
      <c r="TWQ1" s="110"/>
      <c r="TWR1" s="110"/>
      <c r="TWS1" s="110"/>
      <c r="TWT1" s="110"/>
      <c r="TWU1" s="110"/>
      <c r="TWV1" s="110"/>
      <c r="TWW1" s="110"/>
      <c r="TWX1" s="110"/>
      <c r="TWY1" s="110"/>
      <c r="TWZ1" s="110"/>
      <c r="TXA1" s="110"/>
      <c r="TXB1" s="110"/>
      <c r="TXC1" s="110"/>
      <c r="TXD1" s="110"/>
      <c r="TXE1" s="110"/>
      <c r="TXF1" s="110"/>
      <c r="TXG1" s="110"/>
      <c r="TXH1" s="110"/>
      <c r="TXI1" s="110"/>
      <c r="TXJ1" s="110"/>
      <c r="TXK1" s="110"/>
      <c r="TXL1" s="110"/>
      <c r="TXM1" s="110"/>
      <c r="TXN1" s="110"/>
      <c r="TXO1" s="110"/>
      <c r="TXP1" s="110"/>
      <c r="TXQ1" s="110"/>
      <c r="TXR1" s="110"/>
      <c r="TXS1" s="110"/>
      <c r="TXT1" s="110"/>
      <c r="TXU1" s="110"/>
      <c r="TXV1" s="110"/>
      <c r="TXW1" s="110"/>
      <c r="TXX1" s="110"/>
      <c r="TXY1" s="110"/>
      <c r="TXZ1" s="110"/>
      <c r="TYA1" s="110"/>
      <c r="TYB1" s="110"/>
      <c r="TYC1" s="110"/>
      <c r="TYD1" s="110"/>
      <c r="TYE1" s="110"/>
      <c r="TYF1" s="110"/>
      <c r="TYG1" s="110"/>
      <c r="TYH1" s="110"/>
      <c r="TYI1" s="110"/>
      <c r="TYJ1" s="110"/>
      <c r="TYK1" s="110"/>
      <c r="TYL1" s="110"/>
      <c r="TYM1" s="110"/>
      <c r="TYN1" s="110"/>
      <c r="TYO1" s="110"/>
      <c r="TYP1" s="110"/>
      <c r="TYQ1" s="110"/>
      <c r="TYR1" s="110"/>
      <c r="TYS1" s="110"/>
      <c r="TYT1" s="110"/>
      <c r="TYU1" s="110"/>
      <c r="TYV1" s="110"/>
      <c r="TYW1" s="110"/>
      <c r="TYX1" s="110"/>
      <c r="TYY1" s="110"/>
      <c r="TYZ1" s="110"/>
      <c r="TZA1" s="110"/>
      <c r="TZB1" s="110"/>
      <c r="TZC1" s="110"/>
      <c r="TZD1" s="110"/>
      <c r="TZE1" s="110"/>
      <c r="TZF1" s="110"/>
      <c r="TZG1" s="110"/>
      <c r="TZH1" s="110"/>
      <c r="TZI1" s="110"/>
      <c r="TZJ1" s="110"/>
      <c r="TZK1" s="110"/>
      <c r="TZL1" s="110"/>
      <c r="TZM1" s="110"/>
      <c r="TZN1" s="110"/>
      <c r="TZO1" s="110"/>
      <c r="TZP1" s="110"/>
      <c r="TZQ1" s="110"/>
      <c r="TZR1" s="110"/>
      <c r="TZS1" s="110"/>
      <c r="TZT1" s="110"/>
      <c r="TZU1" s="110"/>
      <c r="TZV1" s="110"/>
      <c r="TZW1" s="110"/>
      <c r="TZX1" s="110"/>
      <c r="TZY1" s="110"/>
      <c r="TZZ1" s="110"/>
      <c r="UAA1" s="110"/>
      <c r="UAB1" s="110"/>
      <c r="UAC1" s="110"/>
      <c r="UAD1" s="110"/>
      <c r="UAE1" s="110"/>
      <c r="UAF1" s="110"/>
      <c r="UAG1" s="110"/>
      <c r="UAH1" s="110"/>
      <c r="UAI1" s="110"/>
      <c r="UAJ1" s="110"/>
      <c r="UAK1" s="110"/>
      <c r="UAL1" s="110"/>
      <c r="UAM1" s="110"/>
      <c r="UAN1" s="110"/>
      <c r="UAO1" s="110"/>
      <c r="UAP1" s="110"/>
      <c r="UAQ1" s="110"/>
      <c r="UAR1" s="110"/>
      <c r="UAS1" s="110"/>
      <c r="UAT1" s="110"/>
      <c r="UAU1" s="110"/>
      <c r="UAV1" s="110"/>
      <c r="UAW1" s="110"/>
      <c r="UAX1" s="110"/>
      <c r="UAY1" s="110"/>
      <c r="UAZ1" s="110"/>
      <c r="UBA1" s="110"/>
      <c r="UBB1" s="110"/>
      <c r="UBC1" s="110"/>
      <c r="UBD1" s="110"/>
      <c r="UBE1" s="110"/>
      <c r="UBF1" s="110"/>
      <c r="UBG1" s="110"/>
      <c r="UBH1" s="110"/>
      <c r="UBI1" s="110"/>
      <c r="UBJ1" s="110"/>
      <c r="UBK1" s="110"/>
      <c r="UBL1" s="110"/>
      <c r="UBM1" s="110"/>
      <c r="UBN1" s="110"/>
      <c r="UBO1" s="110"/>
      <c r="UBP1" s="110"/>
      <c r="UBQ1" s="110"/>
      <c r="UBR1" s="110"/>
      <c r="UBS1" s="110"/>
      <c r="UBT1" s="110"/>
      <c r="UBU1" s="110"/>
      <c r="UBV1" s="110"/>
      <c r="UBW1" s="110"/>
      <c r="UBX1" s="110"/>
      <c r="UBY1" s="110"/>
      <c r="UBZ1" s="110"/>
      <c r="UCA1" s="110"/>
      <c r="UCB1" s="110"/>
      <c r="UCC1" s="110"/>
      <c r="UCD1" s="110"/>
      <c r="UCE1" s="110"/>
      <c r="UCF1" s="110"/>
      <c r="UCG1" s="110"/>
      <c r="UCH1" s="110"/>
      <c r="UCI1" s="110"/>
      <c r="UCJ1" s="110"/>
      <c r="UCK1" s="110"/>
      <c r="UCL1" s="110"/>
      <c r="UCM1" s="110"/>
      <c r="UCN1" s="110"/>
      <c r="UCO1" s="110"/>
      <c r="UCP1" s="110"/>
      <c r="UCQ1" s="110"/>
      <c r="UCR1" s="110"/>
      <c r="UCS1" s="110"/>
      <c r="UCT1" s="110"/>
      <c r="UCU1" s="110"/>
      <c r="UCV1" s="110"/>
      <c r="UCW1" s="110"/>
      <c r="UCX1" s="110"/>
      <c r="UCY1" s="110"/>
      <c r="UCZ1" s="110"/>
      <c r="UDA1" s="110"/>
      <c r="UDB1" s="110"/>
      <c r="UDC1" s="110"/>
      <c r="UDD1" s="110"/>
      <c r="UDE1" s="110"/>
      <c r="UDF1" s="110"/>
      <c r="UDG1" s="110"/>
      <c r="UDH1" s="110"/>
      <c r="UDI1" s="110"/>
      <c r="UDJ1" s="110"/>
      <c r="UDK1" s="110"/>
      <c r="UDL1" s="110"/>
      <c r="UDM1" s="110"/>
      <c r="UDN1" s="110"/>
      <c r="UDO1" s="110"/>
      <c r="UDP1" s="110"/>
      <c r="UDQ1" s="110"/>
      <c r="UDR1" s="110"/>
      <c r="UDS1" s="110"/>
      <c r="UDT1" s="110"/>
      <c r="UDU1" s="110"/>
      <c r="UDV1" s="110"/>
      <c r="UDW1" s="110"/>
      <c r="UDX1" s="110"/>
      <c r="UDY1" s="110"/>
      <c r="UDZ1" s="110"/>
      <c r="UEA1" s="110"/>
      <c r="UEB1" s="110"/>
      <c r="UEC1" s="110"/>
      <c r="UED1" s="110"/>
      <c r="UEE1" s="110"/>
      <c r="UEF1" s="110"/>
      <c r="UEG1" s="110"/>
      <c r="UEH1" s="110"/>
      <c r="UEI1" s="110"/>
      <c r="UEJ1" s="110"/>
      <c r="UEK1" s="110"/>
      <c r="UEL1" s="110"/>
      <c r="UEM1" s="110"/>
      <c r="UEN1" s="110"/>
      <c r="UEO1" s="110"/>
      <c r="UEP1" s="110"/>
      <c r="UEQ1" s="110"/>
      <c r="UER1" s="110"/>
      <c r="UES1" s="110"/>
      <c r="UET1" s="110"/>
      <c r="UEU1" s="110"/>
      <c r="UEV1" s="110"/>
      <c r="UEW1" s="110"/>
      <c r="UEX1" s="110"/>
      <c r="UEY1" s="110"/>
      <c r="UEZ1" s="110"/>
      <c r="UFA1" s="110"/>
      <c r="UFB1" s="110"/>
      <c r="UFC1" s="110"/>
      <c r="UFD1" s="110"/>
      <c r="UFE1" s="110"/>
      <c r="UFF1" s="110"/>
      <c r="UFG1" s="110"/>
      <c r="UFH1" s="110"/>
      <c r="UFI1" s="110"/>
      <c r="UFJ1" s="110"/>
      <c r="UFK1" s="110"/>
      <c r="UFL1" s="110"/>
      <c r="UFM1" s="110"/>
      <c r="UFN1" s="110"/>
      <c r="UFO1" s="110"/>
      <c r="UFP1" s="110"/>
      <c r="UFQ1" s="110"/>
      <c r="UFR1" s="110"/>
      <c r="UFS1" s="110"/>
      <c r="UFT1" s="110"/>
      <c r="UFU1" s="110"/>
      <c r="UFV1" s="110"/>
      <c r="UFW1" s="110"/>
      <c r="UFX1" s="110"/>
      <c r="UFY1" s="110"/>
      <c r="UFZ1" s="110"/>
      <c r="UGA1" s="110"/>
      <c r="UGB1" s="110"/>
      <c r="UGC1" s="110"/>
      <c r="UGD1" s="110"/>
      <c r="UGE1" s="110"/>
      <c r="UGF1" s="110"/>
      <c r="UGG1" s="110"/>
      <c r="UGH1" s="110"/>
      <c r="UGI1" s="110"/>
      <c r="UGJ1" s="110"/>
      <c r="UGK1" s="110"/>
      <c r="UGL1" s="110"/>
      <c r="UGM1" s="110"/>
      <c r="UGN1" s="110"/>
      <c r="UGO1" s="110"/>
      <c r="UGP1" s="110"/>
      <c r="UGQ1" s="110"/>
      <c r="UGR1" s="110"/>
      <c r="UGS1" s="110"/>
      <c r="UGT1" s="110"/>
      <c r="UGU1" s="110"/>
      <c r="UGV1" s="110"/>
      <c r="UGW1" s="110"/>
      <c r="UGX1" s="110"/>
      <c r="UGY1" s="110"/>
      <c r="UGZ1" s="110"/>
      <c r="UHA1" s="110"/>
      <c r="UHB1" s="110"/>
      <c r="UHC1" s="110"/>
      <c r="UHD1" s="110"/>
      <c r="UHE1" s="110"/>
      <c r="UHF1" s="110"/>
      <c r="UHG1" s="110"/>
      <c r="UHH1" s="110"/>
      <c r="UHI1" s="110"/>
      <c r="UHJ1" s="110"/>
      <c r="UHK1" s="110"/>
      <c r="UHL1" s="110"/>
      <c r="UHM1" s="110"/>
      <c r="UHN1" s="110"/>
      <c r="UHO1" s="110"/>
      <c r="UHP1" s="110"/>
      <c r="UHQ1" s="110"/>
      <c r="UHR1" s="110"/>
      <c r="UHS1" s="110"/>
      <c r="UHT1" s="110"/>
      <c r="UHU1" s="110"/>
      <c r="UHV1" s="110"/>
      <c r="UHW1" s="110"/>
      <c r="UHX1" s="110"/>
      <c r="UHY1" s="110"/>
      <c r="UHZ1" s="110"/>
      <c r="UIA1" s="110"/>
      <c r="UIB1" s="110"/>
      <c r="UIC1" s="110"/>
      <c r="UID1" s="110"/>
      <c r="UIE1" s="110"/>
      <c r="UIF1" s="110"/>
      <c r="UIG1" s="110"/>
      <c r="UIH1" s="110"/>
      <c r="UII1" s="110"/>
      <c r="UIJ1" s="110"/>
      <c r="UIK1" s="110"/>
      <c r="UIL1" s="110"/>
      <c r="UIM1" s="110"/>
      <c r="UIN1" s="110"/>
      <c r="UIO1" s="110"/>
      <c r="UIP1" s="110"/>
      <c r="UIQ1" s="110"/>
      <c r="UIR1" s="110"/>
      <c r="UIS1" s="110"/>
      <c r="UIT1" s="110"/>
      <c r="UIU1" s="110"/>
      <c r="UIV1" s="110"/>
      <c r="UIW1" s="110"/>
      <c r="UIX1" s="110"/>
      <c r="UIY1" s="110"/>
      <c r="UIZ1" s="110"/>
      <c r="UJA1" s="110"/>
      <c r="UJB1" s="110"/>
      <c r="UJC1" s="110"/>
      <c r="UJD1" s="110"/>
      <c r="UJE1" s="110"/>
      <c r="UJF1" s="110"/>
      <c r="UJG1" s="110"/>
      <c r="UJH1" s="110"/>
      <c r="UJI1" s="110"/>
      <c r="UJJ1" s="110"/>
      <c r="UJK1" s="110"/>
      <c r="UJL1" s="110"/>
      <c r="UJM1" s="110"/>
      <c r="UJN1" s="110"/>
      <c r="UJO1" s="110"/>
      <c r="UJP1" s="110"/>
      <c r="UJQ1" s="110"/>
      <c r="UJR1" s="110"/>
      <c r="UJS1" s="110"/>
      <c r="UJT1" s="110"/>
      <c r="UJU1" s="110"/>
      <c r="UJV1" s="110"/>
      <c r="UJW1" s="110"/>
      <c r="UJX1" s="110"/>
      <c r="UJY1" s="110"/>
      <c r="UJZ1" s="110"/>
      <c r="UKA1" s="110"/>
      <c r="UKB1" s="110"/>
      <c r="UKC1" s="110"/>
      <c r="UKD1" s="110"/>
      <c r="UKE1" s="110"/>
      <c r="UKF1" s="110"/>
      <c r="UKG1" s="110"/>
      <c r="UKH1" s="110"/>
      <c r="UKI1" s="110"/>
      <c r="UKJ1" s="110"/>
      <c r="UKK1" s="110"/>
      <c r="UKL1" s="110"/>
      <c r="UKM1" s="110"/>
      <c r="UKN1" s="110"/>
      <c r="UKO1" s="110"/>
      <c r="UKP1" s="110"/>
      <c r="UKQ1" s="110"/>
      <c r="UKR1" s="110"/>
      <c r="UKS1" s="110"/>
      <c r="UKT1" s="110"/>
      <c r="UKU1" s="110"/>
      <c r="UKV1" s="110"/>
      <c r="UKW1" s="110"/>
      <c r="UKX1" s="110"/>
      <c r="UKY1" s="110"/>
      <c r="UKZ1" s="110"/>
      <c r="ULA1" s="110"/>
      <c r="ULB1" s="110"/>
      <c r="ULC1" s="110"/>
      <c r="ULD1" s="110"/>
      <c r="ULE1" s="110"/>
      <c r="ULF1" s="110"/>
      <c r="ULG1" s="110"/>
      <c r="ULH1" s="110"/>
      <c r="ULI1" s="110"/>
      <c r="ULJ1" s="110"/>
      <c r="ULK1" s="110"/>
      <c r="ULL1" s="110"/>
      <c r="ULM1" s="110"/>
      <c r="ULN1" s="110"/>
      <c r="ULO1" s="110"/>
      <c r="ULP1" s="110"/>
      <c r="ULQ1" s="110"/>
      <c r="ULR1" s="110"/>
      <c r="ULS1" s="110"/>
      <c r="ULT1" s="110"/>
      <c r="ULU1" s="110"/>
      <c r="ULV1" s="110"/>
      <c r="ULW1" s="110"/>
      <c r="ULX1" s="110"/>
      <c r="ULY1" s="110"/>
      <c r="ULZ1" s="110"/>
      <c r="UMA1" s="110"/>
      <c r="UMB1" s="110"/>
      <c r="UMC1" s="110"/>
      <c r="UMD1" s="110"/>
      <c r="UME1" s="110"/>
      <c r="UMF1" s="110"/>
      <c r="UMG1" s="110"/>
      <c r="UMH1" s="110"/>
      <c r="UMI1" s="110"/>
      <c r="UMJ1" s="110"/>
      <c r="UMK1" s="110"/>
      <c r="UML1" s="110"/>
      <c r="UMM1" s="110"/>
      <c r="UMN1" s="110"/>
      <c r="UMO1" s="110"/>
      <c r="UMP1" s="110"/>
      <c r="UMQ1" s="110"/>
      <c r="UMR1" s="110"/>
      <c r="UMS1" s="110"/>
      <c r="UMT1" s="110"/>
      <c r="UMU1" s="110"/>
      <c r="UMV1" s="110"/>
      <c r="UMW1" s="110"/>
      <c r="UMX1" s="110"/>
      <c r="UMY1" s="110"/>
      <c r="UMZ1" s="110"/>
      <c r="UNA1" s="110"/>
      <c r="UNB1" s="110"/>
      <c r="UNC1" s="110"/>
      <c r="UND1" s="110"/>
      <c r="UNE1" s="110"/>
      <c r="UNF1" s="110"/>
      <c r="UNG1" s="110"/>
      <c r="UNH1" s="110"/>
      <c r="UNI1" s="110"/>
      <c r="UNJ1" s="110"/>
      <c r="UNK1" s="110"/>
      <c r="UNL1" s="110"/>
      <c r="UNM1" s="110"/>
      <c r="UNN1" s="110"/>
      <c r="UNO1" s="110"/>
      <c r="UNP1" s="110"/>
      <c r="UNQ1" s="110"/>
      <c r="UNR1" s="110"/>
      <c r="UNS1" s="110"/>
      <c r="UNT1" s="110"/>
      <c r="UNU1" s="110"/>
      <c r="UNV1" s="110"/>
      <c r="UNW1" s="110"/>
      <c r="UNX1" s="110"/>
      <c r="UNY1" s="110"/>
      <c r="UNZ1" s="110"/>
      <c r="UOA1" s="110"/>
      <c r="UOB1" s="110"/>
      <c r="UOC1" s="110"/>
      <c r="UOD1" s="110"/>
      <c r="UOE1" s="110"/>
      <c r="UOF1" s="110"/>
      <c r="UOG1" s="110"/>
      <c r="UOH1" s="110"/>
      <c r="UOI1" s="110"/>
      <c r="UOJ1" s="110"/>
      <c r="UOK1" s="110"/>
      <c r="UOL1" s="110"/>
      <c r="UOM1" s="110"/>
      <c r="UON1" s="110"/>
      <c r="UOO1" s="110"/>
      <c r="UOP1" s="110"/>
      <c r="UOQ1" s="110"/>
      <c r="UOR1" s="110"/>
      <c r="UOS1" s="110"/>
      <c r="UOT1" s="110"/>
      <c r="UOU1" s="110"/>
      <c r="UOV1" s="110"/>
      <c r="UOW1" s="110"/>
      <c r="UOX1" s="110"/>
      <c r="UOY1" s="110"/>
      <c r="UOZ1" s="110"/>
      <c r="UPA1" s="110"/>
      <c r="UPB1" s="110"/>
      <c r="UPC1" s="110"/>
      <c r="UPD1" s="110"/>
      <c r="UPE1" s="110"/>
      <c r="UPF1" s="110"/>
      <c r="UPG1" s="110"/>
      <c r="UPH1" s="110"/>
      <c r="UPI1" s="110"/>
      <c r="UPJ1" s="110"/>
      <c r="UPK1" s="110"/>
      <c r="UPL1" s="110"/>
      <c r="UPM1" s="110"/>
      <c r="UPN1" s="110"/>
      <c r="UPO1" s="110"/>
      <c r="UPP1" s="110"/>
      <c r="UPQ1" s="110"/>
      <c r="UPR1" s="110"/>
      <c r="UPS1" s="110"/>
      <c r="UPT1" s="110"/>
      <c r="UPU1" s="110"/>
      <c r="UPV1" s="110"/>
      <c r="UPW1" s="110"/>
      <c r="UPX1" s="110"/>
      <c r="UPY1" s="110"/>
      <c r="UPZ1" s="110"/>
      <c r="UQA1" s="110"/>
      <c r="UQB1" s="110"/>
      <c r="UQC1" s="110"/>
      <c r="UQD1" s="110"/>
      <c r="UQE1" s="110"/>
      <c r="UQF1" s="110"/>
      <c r="UQG1" s="110"/>
      <c r="UQH1" s="110"/>
      <c r="UQI1" s="110"/>
      <c r="UQJ1" s="110"/>
      <c r="UQK1" s="110"/>
      <c r="UQL1" s="110"/>
      <c r="UQM1" s="110"/>
      <c r="UQN1" s="110"/>
      <c r="UQO1" s="110"/>
      <c r="UQP1" s="110"/>
      <c r="UQQ1" s="110"/>
      <c r="UQR1" s="110"/>
      <c r="UQS1" s="110"/>
      <c r="UQT1" s="110"/>
      <c r="UQU1" s="110"/>
      <c r="UQV1" s="110"/>
      <c r="UQW1" s="110"/>
      <c r="UQX1" s="110"/>
      <c r="UQY1" s="110"/>
      <c r="UQZ1" s="110"/>
      <c r="URA1" s="110"/>
      <c r="URB1" s="110"/>
      <c r="URC1" s="110"/>
      <c r="URD1" s="110"/>
      <c r="URE1" s="110"/>
      <c r="URF1" s="110"/>
      <c r="URG1" s="110"/>
      <c r="URH1" s="110"/>
      <c r="URI1" s="110"/>
      <c r="URJ1" s="110"/>
      <c r="URK1" s="110"/>
      <c r="URL1" s="110"/>
      <c r="URM1" s="110"/>
      <c r="URN1" s="110"/>
      <c r="URO1" s="110"/>
      <c r="URP1" s="110"/>
      <c r="URQ1" s="110"/>
      <c r="URR1" s="110"/>
      <c r="URS1" s="110"/>
      <c r="URT1" s="110"/>
      <c r="URU1" s="110"/>
      <c r="URV1" s="110"/>
      <c r="URW1" s="110"/>
      <c r="URX1" s="110"/>
      <c r="URY1" s="110"/>
      <c r="URZ1" s="110"/>
      <c r="USA1" s="110"/>
      <c r="USB1" s="110"/>
      <c r="USC1" s="110"/>
      <c r="USD1" s="110"/>
      <c r="USE1" s="110"/>
      <c r="USF1" s="110"/>
      <c r="USG1" s="110"/>
      <c r="USH1" s="110"/>
      <c r="USI1" s="110"/>
      <c r="USJ1" s="110"/>
      <c r="USK1" s="110"/>
      <c r="USL1" s="110"/>
      <c r="USM1" s="110"/>
      <c r="USN1" s="110"/>
      <c r="USO1" s="110"/>
      <c r="USP1" s="110"/>
      <c r="USQ1" s="110"/>
      <c r="USR1" s="110"/>
      <c r="USS1" s="110"/>
      <c r="UST1" s="110"/>
      <c r="USU1" s="110"/>
      <c r="USV1" s="110"/>
      <c r="USW1" s="110"/>
      <c r="USX1" s="110"/>
      <c r="USY1" s="110"/>
      <c r="USZ1" s="110"/>
      <c r="UTA1" s="110"/>
      <c r="UTB1" s="110"/>
      <c r="UTC1" s="110"/>
      <c r="UTD1" s="110"/>
      <c r="UTE1" s="110"/>
      <c r="UTF1" s="110"/>
      <c r="UTG1" s="110"/>
      <c r="UTH1" s="110"/>
      <c r="UTI1" s="110"/>
      <c r="UTJ1" s="110"/>
      <c r="UTK1" s="110"/>
      <c r="UTL1" s="110"/>
      <c r="UTM1" s="110"/>
      <c r="UTN1" s="110"/>
      <c r="UTO1" s="110"/>
      <c r="UTP1" s="110"/>
      <c r="UTQ1" s="110"/>
      <c r="UTR1" s="110"/>
      <c r="UTS1" s="110"/>
      <c r="UTT1" s="110"/>
      <c r="UTU1" s="110"/>
      <c r="UTV1" s="110"/>
      <c r="UTW1" s="110"/>
      <c r="UTX1" s="110"/>
      <c r="UTY1" s="110"/>
      <c r="UTZ1" s="110"/>
      <c r="UUA1" s="110"/>
      <c r="UUB1" s="110"/>
      <c r="UUC1" s="110"/>
      <c r="UUD1" s="110"/>
      <c r="UUE1" s="110"/>
      <c r="UUF1" s="110"/>
      <c r="UUG1" s="110"/>
      <c r="UUH1" s="110"/>
      <c r="UUI1" s="110"/>
      <c r="UUJ1" s="110"/>
      <c r="UUK1" s="110"/>
      <c r="UUL1" s="110"/>
      <c r="UUM1" s="110"/>
      <c r="UUN1" s="110"/>
      <c r="UUO1" s="110"/>
      <c r="UUP1" s="110"/>
      <c r="UUQ1" s="110"/>
      <c r="UUR1" s="110"/>
      <c r="UUS1" s="110"/>
      <c r="UUT1" s="110"/>
      <c r="UUU1" s="110"/>
      <c r="UUV1" s="110"/>
      <c r="UUW1" s="110"/>
      <c r="UUX1" s="110"/>
      <c r="UUY1" s="110"/>
      <c r="UUZ1" s="110"/>
      <c r="UVA1" s="110"/>
      <c r="UVB1" s="110"/>
      <c r="UVC1" s="110"/>
      <c r="UVD1" s="110"/>
      <c r="UVE1" s="110"/>
      <c r="UVF1" s="110"/>
      <c r="UVG1" s="110"/>
      <c r="UVH1" s="110"/>
      <c r="UVI1" s="110"/>
      <c r="UVJ1" s="110"/>
      <c r="UVK1" s="110"/>
      <c r="UVL1" s="110"/>
      <c r="UVM1" s="110"/>
      <c r="UVN1" s="110"/>
      <c r="UVO1" s="110"/>
      <c r="UVP1" s="110"/>
      <c r="UVQ1" s="110"/>
      <c r="UVR1" s="110"/>
      <c r="UVS1" s="110"/>
      <c r="UVT1" s="110"/>
      <c r="UVU1" s="110"/>
      <c r="UVV1" s="110"/>
      <c r="UVW1" s="110"/>
      <c r="UVX1" s="110"/>
      <c r="UVY1" s="110"/>
      <c r="UVZ1" s="110"/>
      <c r="UWA1" s="110"/>
      <c r="UWB1" s="110"/>
      <c r="UWC1" s="110"/>
      <c r="UWD1" s="110"/>
      <c r="UWE1" s="110"/>
      <c r="UWF1" s="110"/>
      <c r="UWG1" s="110"/>
      <c r="UWH1" s="110"/>
      <c r="UWI1" s="110"/>
      <c r="UWJ1" s="110"/>
      <c r="UWK1" s="110"/>
      <c r="UWL1" s="110"/>
      <c r="UWM1" s="110"/>
      <c r="UWN1" s="110"/>
      <c r="UWO1" s="110"/>
      <c r="UWP1" s="110"/>
      <c r="UWQ1" s="110"/>
      <c r="UWR1" s="110"/>
      <c r="UWS1" s="110"/>
      <c r="UWT1" s="110"/>
      <c r="UWU1" s="110"/>
      <c r="UWV1" s="110"/>
      <c r="UWW1" s="110"/>
      <c r="UWX1" s="110"/>
      <c r="UWY1" s="110"/>
      <c r="UWZ1" s="110"/>
      <c r="UXA1" s="110"/>
      <c r="UXB1" s="110"/>
      <c r="UXC1" s="110"/>
      <c r="UXD1" s="110"/>
      <c r="UXE1" s="110"/>
      <c r="UXF1" s="110"/>
      <c r="UXG1" s="110"/>
      <c r="UXH1" s="110"/>
      <c r="UXI1" s="110"/>
      <c r="UXJ1" s="110"/>
      <c r="UXK1" s="110"/>
      <c r="UXL1" s="110"/>
      <c r="UXM1" s="110"/>
      <c r="UXN1" s="110"/>
      <c r="UXO1" s="110"/>
      <c r="UXP1" s="110"/>
      <c r="UXQ1" s="110"/>
      <c r="UXR1" s="110"/>
      <c r="UXS1" s="110"/>
      <c r="UXT1" s="110"/>
      <c r="UXU1" s="110"/>
      <c r="UXV1" s="110"/>
      <c r="UXW1" s="110"/>
      <c r="UXX1" s="110"/>
      <c r="UXY1" s="110"/>
      <c r="UXZ1" s="110"/>
      <c r="UYA1" s="110"/>
      <c r="UYB1" s="110"/>
      <c r="UYC1" s="110"/>
      <c r="UYD1" s="110"/>
      <c r="UYE1" s="110"/>
      <c r="UYF1" s="110"/>
      <c r="UYG1" s="110"/>
      <c r="UYH1" s="110"/>
      <c r="UYI1" s="110"/>
      <c r="UYJ1" s="110"/>
      <c r="UYK1" s="110"/>
      <c r="UYL1" s="110"/>
      <c r="UYM1" s="110"/>
      <c r="UYN1" s="110"/>
      <c r="UYO1" s="110"/>
      <c r="UYP1" s="110"/>
      <c r="UYQ1" s="110"/>
      <c r="UYR1" s="110"/>
      <c r="UYS1" s="110"/>
      <c r="UYT1" s="110"/>
      <c r="UYU1" s="110"/>
      <c r="UYV1" s="110"/>
      <c r="UYW1" s="110"/>
      <c r="UYX1" s="110"/>
      <c r="UYY1" s="110"/>
      <c r="UYZ1" s="110"/>
      <c r="UZA1" s="110"/>
      <c r="UZB1" s="110"/>
      <c r="UZC1" s="110"/>
      <c r="UZD1" s="110"/>
      <c r="UZE1" s="110"/>
      <c r="UZF1" s="110"/>
      <c r="UZG1" s="110"/>
      <c r="UZH1" s="110"/>
      <c r="UZI1" s="110"/>
      <c r="UZJ1" s="110"/>
      <c r="UZK1" s="110"/>
      <c r="UZL1" s="110"/>
      <c r="UZM1" s="110"/>
      <c r="UZN1" s="110"/>
      <c r="UZO1" s="110"/>
      <c r="UZP1" s="110"/>
      <c r="UZQ1" s="110"/>
      <c r="UZR1" s="110"/>
      <c r="UZS1" s="110"/>
      <c r="UZT1" s="110"/>
      <c r="UZU1" s="110"/>
      <c r="UZV1" s="110"/>
      <c r="UZW1" s="110"/>
      <c r="UZX1" s="110"/>
      <c r="UZY1" s="110"/>
      <c r="UZZ1" s="110"/>
      <c r="VAA1" s="110"/>
      <c r="VAB1" s="110"/>
      <c r="VAC1" s="110"/>
      <c r="VAD1" s="110"/>
      <c r="VAE1" s="110"/>
      <c r="VAF1" s="110"/>
      <c r="VAG1" s="110"/>
      <c r="VAH1" s="110"/>
      <c r="VAI1" s="110"/>
      <c r="VAJ1" s="110"/>
      <c r="VAK1" s="110"/>
      <c r="VAL1" s="110"/>
      <c r="VAM1" s="110"/>
      <c r="VAN1" s="110"/>
      <c r="VAO1" s="110"/>
      <c r="VAP1" s="110"/>
      <c r="VAQ1" s="110"/>
      <c r="VAR1" s="110"/>
      <c r="VAS1" s="110"/>
      <c r="VAT1" s="110"/>
      <c r="VAU1" s="110"/>
      <c r="VAV1" s="110"/>
      <c r="VAW1" s="110"/>
      <c r="VAX1" s="110"/>
      <c r="VAY1" s="110"/>
      <c r="VAZ1" s="110"/>
      <c r="VBA1" s="110"/>
      <c r="VBB1" s="110"/>
      <c r="VBC1" s="110"/>
      <c r="VBD1" s="110"/>
      <c r="VBE1" s="110"/>
      <c r="VBF1" s="110"/>
      <c r="VBG1" s="110"/>
      <c r="VBH1" s="110"/>
      <c r="VBI1" s="110"/>
      <c r="VBJ1" s="110"/>
      <c r="VBK1" s="110"/>
      <c r="VBL1" s="110"/>
      <c r="VBM1" s="110"/>
      <c r="VBN1" s="110"/>
      <c r="VBO1" s="110"/>
      <c r="VBP1" s="110"/>
      <c r="VBQ1" s="110"/>
      <c r="VBR1" s="110"/>
      <c r="VBS1" s="110"/>
      <c r="VBT1" s="110"/>
      <c r="VBU1" s="110"/>
      <c r="VBV1" s="110"/>
      <c r="VBW1" s="110"/>
      <c r="VBX1" s="110"/>
      <c r="VBY1" s="110"/>
      <c r="VBZ1" s="110"/>
      <c r="VCA1" s="110"/>
      <c r="VCB1" s="110"/>
      <c r="VCC1" s="110"/>
      <c r="VCD1" s="110"/>
      <c r="VCE1" s="110"/>
      <c r="VCF1" s="110"/>
      <c r="VCG1" s="110"/>
      <c r="VCH1" s="110"/>
      <c r="VCI1" s="110"/>
      <c r="VCJ1" s="110"/>
      <c r="VCK1" s="110"/>
      <c r="VCL1" s="110"/>
      <c r="VCM1" s="110"/>
      <c r="VCN1" s="110"/>
      <c r="VCO1" s="110"/>
      <c r="VCP1" s="110"/>
      <c r="VCQ1" s="110"/>
      <c r="VCR1" s="110"/>
      <c r="VCS1" s="110"/>
      <c r="VCT1" s="110"/>
      <c r="VCU1" s="110"/>
      <c r="VCV1" s="110"/>
      <c r="VCW1" s="110"/>
      <c r="VCX1" s="110"/>
      <c r="VCY1" s="110"/>
      <c r="VCZ1" s="110"/>
      <c r="VDA1" s="110"/>
      <c r="VDB1" s="110"/>
      <c r="VDC1" s="110"/>
      <c r="VDD1" s="110"/>
      <c r="VDE1" s="110"/>
      <c r="VDF1" s="110"/>
      <c r="VDG1" s="110"/>
      <c r="VDH1" s="110"/>
      <c r="VDI1" s="110"/>
      <c r="VDJ1" s="110"/>
      <c r="VDK1" s="110"/>
      <c r="VDL1" s="110"/>
      <c r="VDM1" s="110"/>
      <c r="VDN1" s="110"/>
      <c r="VDO1" s="110"/>
      <c r="VDP1" s="110"/>
      <c r="VDQ1" s="110"/>
      <c r="VDR1" s="110"/>
      <c r="VDS1" s="110"/>
      <c r="VDT1" s="110"/>
      <c r="VDU1" s="110"/>
      <c r="VDV1" s="110"/>
      <c r="VDW1" s="110"/>
      <c r="VDX1" s="110"/>
      <c r="VDY1" s="110"/>
      <c r="VDZ1" s="110"/>
      <c r="VEA1" s="110"/>
      <c r="VEB1" s="110"/>
      <c r="VEC1" s="110"/>
      <c r="VED1" s="110"/>
      <c r="VEE1" s="110"/>
      <c r="VEF1" s="110"/>
      <c r="VEG1" s="110"/>
      <c r="VEH1" s="110"/>
      <c r="VEI1" s="110"/>
      <c r="VEJ1" s="110"/>
      <c r="VEK1" s="110"/>
      <c r="VEL1" s="110"/>
      <c r="VEM1" s="110"/>
      <c r="VEN1" s="110"/>
      <c r="VEO1" s="110"/>
      <c r="VEP1" s="110"/>
      <c r="VEQ1" s="110"/>
      <c r="VER1" s="110"/>
      <c r="VES1" s="110"/>
      <c r="VET1" s="110"/>
      <c r="VEU1" s="110"/>
      <c r="VEV1" s="110"/>
      <c r="VEW1" s="110"/>
      <c r="VEX1" s="110"/>
      <c r="VEY1" s="110"/>
      <c r="VEZ1" s="110"/>
      <c r="VFA1" s="110"/>
      <c r="VFB1" s="110"/>
      <c r="VFC1" s="110"/>
      <c r="VFD1" s="110"/>
      <c r="VFE1" s="110"/>
      <c r="VFF1" s="110"/>
      <c r="VFG1" s="110"/>
      <c r="VFH1" s="110"/>
      <c r="VFI1" s="110"/>
      <c r="VFJ1" s="110"/>
      <c r="VFK1" s="110"/>
      <c r="VFL1" s="110"/>
      <c r="VFM1" s="110"/>
      <c r="VFN1" s="110"/>
      <c r="VFO1" s="110"/>
      <c r="VFP1" s="110"/>
      <c r="VFQ1" s="110"/>
      <c r="VFR1" s="110"/>
      <c r="VFS1" s="110"/>
      <c r="VFT1" s="110"/>
      <c r="VFU1" s="110"/>
      <c r="VFV1" s="110"/>
      <c r="VFW1" s="110"/>
      <c r="VFX1" s="110"/>
      <c r="VFY1" s="110"/>
      <c r="VFZ1" s="110"/>
      <c r="VGA1" s="110"/>
      <c r="VGB1" s="110"/>
      <c r="VGC1" s="110"/>
      <c r="VGD1" s="110"/>
      <c r="VGE1" s="110"/>
      <c r="VGF1" s="110"/>
      <c r="VGG1" s="110"/>
      <c r="VGH1" s="110"/>
      <c r="VGI1" s="110"/>
      <c r="VGJ1" s="110"/>
      <c r="VGK1" s="110"/>
      <c r="VGL1" s="110"/>
      <c r="VGM1" s="110"/>
      <c r="VGN1" s="110"/>
      <c r="VGO1" s="110"/>
      <c r="VGP1" s="110"/>
      <c r="VGQ1" s="110"/>
      <c r="VGR1" s="110"/>
      <c r="VGS1" s="110"/>
      <c r="VGT1" s="110"/>
      <c r="VGU1" s="110"/>
      <c r="VGV1" s="110"/>
      <c r="VGW1" s="110"/>
      <c r="VGX1" s="110"/>
      <c r="VGY1" s="110"/>
      <c r="VGZ1" s="110"/>
      <c r="VHA1" s="110"/>
      <c r="VHB1" s="110"/>
      <c r="VHC1" s="110"/>
      <c r="VHD1" s="110"/>
      <c r="VHE1" s="110"/>
      <c r="VHF1" s="110"/>
      <c r="VHG1" s="110"/>
      <c r="VHH1" s="110"/>
      <c r="VHI1" s="110"/>
      <c r="VHJ1" s="110"/>
      <c r="VHK1" s="110"/>
      <c r="VHL1" s="110"/>
      <c r="VHM1" s="110"/>
      <c r="VHN1" s="110"/>
      <c r="VHO1" s="110"/>
      <c r="VHP1" s="110"/>
      <c r="VHQ1" s="110"/>
      <c r="VHR1" s="110"/>
      <c r="VHS1" s="110"/>
      <c r="VHT1" s="110"/>
      <c r="VHU1" s="110"/>
      <c r="VHV1" s="110"/>
      <c r="VHW1" s="110"/>
      <c r="VHX1" s="110"/>
      <c r="VHY1" s="110"/>
      <c r="VHZ1" s="110"/>
      <c r="VIA1" s="110"/>
      <c r="VIB1" s="110"/>
      <c r="VIC1" s="110"/>
      <c r="VID1" s="110"/>
      <c r="VIE1" s="110"/>
      <c r="VIF1" s="110"/>
      <c r="VIG1" s="110"/>
      <c r="VIH1" s="110"/>
      <c r="VII1" s="110"/>
      <c r="VIJ1" s="110"/>
      <c r="VIK1" s="110"/>
      <c r="VIL1" s="110"/>
      <c r="VIM1" s="110"/>
      <c r="VIN1" s="110"/>
      <c r="VIO1" s="110"/>
      <c r="VIP1" s="110"/>
      <c r="VIQ1" s="110"/>
      <c r="VIR1" s="110"/>
      <c r="VIS1" s="110"/>
      <c r="VIT1" s="110"/>
      <c r="VIU1" s="110"/>
      <c r="VIV1" s="110"/>
      <c r="VIW1" s="110"/>
      <c r="VIX1" s="110"/>
      <c r="VIY1" s="110"/>
      <c r="VIZ1" s="110"/>
      <c r="VJA1" s="110"/>
      <c r="VJB1" s="110"/>
      <c r="VJC1" s="110"/>
      <c r="VJD1" s="110"/>
      <c r="VJE1" s="110"/>
      <c r="VJF1" s="110"/>
      <c r="VJG1" s="110"/>
      <c r="VJH1" s="110"/>
      <c r="VJI1" s="110"/>
      <c r="VJJ1" s="110"/>
      <c r="VJK1" s="110"/>
      <c r="VJL1" s="110"/>
      <c r="VJM1" s="110"/>
      <c r="VJN1" s="110"/>
      <c r="VJO1" s="110"/>
      <c r="VJP1" s="110"/>
      <c r="VJQ1" s="110"/>
      <c r="VJR1" s="110"/>
      <c r="VJS1" s="110"/>
      <c r="VJT1" s="110"/>
      <c r="VJU1" s="110"/>
      <c r="VJV1" s="110"/>
      <c r="VJW1" s="110"/>
      <c r="VJX1" s="110"/>
      <c r="VJY1" s="110"/>
      <c r="VJZ1" s="110"/>
      <c r="VKA1" s="110"/>
      <c r="VKB1" s="110"/>
      <c r="VKC1" s="110"/>
      <c r="VKD1" s="110"/>
      <c r="VKE1" s="110"/>
      <c r="VKF1" s="110"/>
      <c r="VKG1" s="110"/>
      <c r="VKH1" s="110"/>
      <c r="VKI1" s="110"/>
      <c r="VKJ1" s="110"/>
      <c r="VKK1" s="110"/>
      <c r="VKL1" s="110"/>
      <c r="VKM1" s="110"/>
      <c r="VKN1" s="110"/>
      <c r="VKO1" s="110"/>
      <c r="VKP1" s="110"/>
      <c r="VKQ1" s="110"/>
      <c r="VKR1" s="110"/>
      <c r="VKS1" s="110"/>
      <c r="VKT1" s="110"/>
      <c r="VKU1" s="110"/>
      <c r="VKV1" s="110"/>
      <c r="VKW1" s="110"/>
      <c r="VKX1" s="110"/>
      <c r="VKY1" s="110"/>
      <c r="VKZ1" s="110"/>
      <c r="VLA1" s="110"/>
      <c r="VLB1" s="110"/>
      <c r="VLC1" s="110"/>
      <c r="VLD1" s="110"/>
      <c r="VLE1" s="110"/>
      <c r="VLF1" s="110"/>
      <c r="VLG1" s="110"/>
      <c r="VLH1" s="110"/>
      <c r="VLI1" s="110"/>
      <c r="VLJ1" s="110"/>
      <c r="VLK1" s="110"/>
      <c r="VLL1" s="110"/>
      <c r="VLM1" s="110"/>
      <c r="VLN1" s="110"/>
      <c r="VLO1" s="110"/>
      <c r="VLP1" s="110"/>
      <c r="VLQ1" s="110"/>
      <c r="VLR1" s="110"/>
      <c r="VLS1" s="110"/>
      <c r="VLT1" s="110"/>
      <c r="VLU1" s="110"/>
      <c r="VLV1" s="110"/>
      <c r="VLW1" s="110"/>
      <c r="VLX1" s="110"/>
      <c r="VLY1" s="110"/>
      <c r="VLZ1" s="110"/>
      <c r="VMA1" s="110"/>
      <c r="VMB1" s="110"/>
      <c r="VMC1" s="110"/>
      <c r="VMD1" s="110"/>
      <c r="VME1" s="110"/>
      <c r="VMF1" s="110"/>
      <c r="VMG1" s="110"/>
      <c r="VMH1" s="110"/>
      <c r="VMI1" s="110"/>
      <c r="VMJ1" s="110"/>
      <c r="VMK1" s="110"/>
      <c r="VML1" s="110"/>
      <c r="VMM1" s="110"/>
      <c r="VMN1" s="110"/>
      <c r="VMO1" s="110"/>
      <c r="VMP1" s="110"/>
      <c r="VMQ1" s="110"/>
      <c r="VMR1" s="110"/>
      <c r="VMS1" s="110"/>
      <c r="VMT1" s="110"/>
      <c r="VMU1" s="110"/>
      <c r="VMV1" s="110"/>
      <c r="VMW1" s="110"/>
      <c r="VMX1" s="110"/>
      <c r="VMY1" s="110"/>
      <c r="VMZ1" s="110"/>
      <c r="VNA1" s="110"/>
      <c r="VNB1" s="110"/>
      <c r="VNC1" s="110"/>
      <c r="VND1" s="110"/>
      <c r="VNE1" s="110"/>
      <c r="VNF1" s="110"/>
      <c r="VNG1" s="110"/>
      <c r="VNH1" s="110"/>
      <c r="VNI1" s="110"/>
      <c r="VNJ1" s="110"/>
      <c r="VNK1" s="110"/>
      <c r="VNL1" s="110"/>
      <c r="VNM1" s="110"/>
      <c r="VNN1" s="110"/>
      <c r="VNO1" s="110"/>
      <c r="VNP1" s="110"/>
      <c r="VNQ1" s="110"/>
      <c r="VNR1" s="110"/>
      <c r="VNS1" s="110"/>
      <c r="VNT1" s="110"/>
      <c r="VNU1" s="110"/>
      <c r="VNV1" s="110"/>
      <c r="VNW1" s="110"/>
      <c r="VNX1" s="110"/>
      <c r="VNY1" s="110"/>
      <c r="VNZ1" s="110"/>
      <c r="VOA1" s="110"/>
      <c r="VOB1" s="110"/>
      <c r="VOC1" s="110"/>
      <c r="VOD1" s="110"/>
      <c r="VOE1" s="110"/>
      <c r="VOF1" s="110"/>
      <c r="VOG1" s="110"/>
      <c r="VOH1" s="110"/>
      <c r="VOI1" s="110"/>
      <c r="VOJ1" s="110"/>
      <c r="VOK1" s="110"/>
      <c r="VOL1" s="110"/>
      <c r="VOM1" s="110"/>
      <c r="VON1" s="110"/>
      <c r="VOO1" s="110"/>
      <c r="VOP1" s="110"/>
      <c r="VOQ1" s="110"/>
      <c r="VOR1" s="110"/>
      <c r="VOS1" s="110"/>
      <c r="VOT1" s="110"/>
      <c r="VOU1" s="110"/>
      <c r="VOV1" s="110"/>
      <c r="VOW1" s="110"/>
      <c r="VOX1" s="110"/>
      <c r="VOY1" s="110"/>
      <c r="VOZ1" s="110"/>
      <c r="VPA1" s="110"/>
      <c r="VPB1" s="110"/>
      <c r="VPC1" s="110"/>
      <c r="VPD1" s="110"/>
      <c r="VPE1" s="110"/>
      <c r="VPF1" s="110"/>
      <c r="VPG1" s="110"/>
      <c r="VPH1" s="110"/>
      <c r="VPI1" s="110"/>
      <c r="VPJ1" s="110"/>
      <c r="VPK1" s="110"/>
      <c r="VPL1" s="110"/>
      <c r="VPM1" s="110"/>
      <c r="VPN1" s="110"/>
      <c r="VPO1" s="110"/>
      <c r="VPP1" s="110"/>
      <c r="VPQ1" s="110"/>
      <c r="VPR1" s="110"/>
      <c r="VPS1" s="110"/>
      <c r="VPT1" s="110"/>
      <c r="VPU1" s="110"/>
      <c r="VPV1" s="110"/>
      <c r="VPW1" s="110"/>
      <c r="VPX1" s="110"/>
      <c r="VPY1" s="110"/>
      <c r="VPZ1" s="110"/>
      <c r="VQA1" s="110"/>
      <c r="VQB1" s="110"/>
      <c r="VQC1" s="110"/>
      <c r="VQD1" s="110"/>
      <c r="VQE1" s="110"/>
      <c r="VQF1" s="110"/>
      <c r="VQG1" s="110"/>
      <c r="VQH1" s="110"/>
      <c r="VQI1" s="110"/>
      <c r="VQJ1" s="110"/>
      <c r="VQK1" s="110"/>
      <c r="VQL1" s="110"/>
      <c r="VQM1" s="110"/>
      <c r="VQN1" s="110"/>
      <c r="VQO1" s="110"/>
      <c r="VQP1" s="110"/>
      <c r="VQQ1" s="110"/>
      <c r="VQR1" s="110"/>
      <c r="VQS1" s="110"/>
      <c r="VQT1" s="110"/>
      <c r="VQU1" s="110"/>
      <c r="VQV1" s="110"/>
      <c r="VQW1" s="110"/>
      <c r="VQX1" s="110"/>
      <c r="VQY1" s="110"/>
      <c r="VQZ1" s="110"/>
      <c r="VRA1" s="110"/>
      <c r="VRB1" s="110"/>
      <c r="VRC1" s="110"/>
      <c r="VRD1" s="110"/>
      <c r="VRE1" s="110"/>
      <c r="VRF1" s="110"/>
      <c r="VRG1" s="110"/>
      <c r="VRH1" s="110"/>
      <c r="VRI1" s="110"/>
      <c r="VRJ1" s="110"/>
      <c r="VRK1" s="110"/>
      <c r="VRL1" s="110"/>
      <c r="VRM1" s="110"/>
      <c r="VRN1" s="110"/>
      <c r="VRO1" s="110"/>
      <c r="VRP1" s="110"/>
      <c r="VRQ1" s="110"/>
      <c r="VRR1" s="110"/>
      <c r="VRS1" s="110"/>
      <c r="VRT1" s="110"/>
      <c r="VRU1" s="110"/>
      <c r="VRV1" s="110"/>
      <c r="VRW1" s="110"/>
      <c r="VRX1" s="110"/>
      <c r="VRY1" s="110"/>
      <c r="VRZ1" s="110"/>
      <c r="VSA1" s="110"/>
      <c r="VSB1" s="110"/>
      <c r="VSC1" s="110"/>
      <c r="VSD1" s="110"/>
      <c r="VSE1" s="110"/>
      <c r="VSF1" s="110"/>
      <c r="VSG1" s="110"/>
      <c r="VSH1" s="110"/>
      <c r="VSI1" s="110"/>
      <c r="VSJ1" s="110"/>
      <c r="VSK1" s="110"/>
      <c r="VSL1" s="110"/>
      <c r="VSM1" s="110"/>
      <c r="VSN1" s="110"/>
      <c r="VSO1" s="110"/>
      <c r="VSP1" s="110"/>
      <c r="VSQ1" s="110"/>
      <c r="VSR1" s="110"/>
      <c r="VSS1" s="110"/>
      <c r="VST1" s="110"/>
      <c r="VSU1" s="110"/>
      <c r="VSV1" s="110"/>
      <c r="VSW1" s="110"/>
      <c r="VSX1" s="110"/>
      <c r="VSY1" s="110"/>
      <c r="VSZ1" s="110"/>
      <c r="VTA1" s="110"/>
      <c r="VTB1" s="110"/>
      <c r="VTC1" s="110"/>
      <c r="VTD1" s="110"/>
      <c r="VTE1" s="110"/>
      <c r="VTF1" s="110"/>
      <c r="VTG1" s="110"/>
      <c r="VTH1" s="110"/>
      <c r="VTI1" s="110"/>
      <c r="VTJ1" s="110"/>
      <c r="VTK1" s="110"/>
      <c r="VTL1" s="110"/>
      <c r="VTM1" s="110"/>
      <c r="VTN1" s="110"/>
      <c r="VTO1" s="110"/>
      <c r="VTP1" s="110"/>
      <c r="VTQ1" s="110"/>
      <c r="VTR1" s="110"/>
      <c r="VTS1" s="110"/>
      <c r="VTT1" s="110"/>
      <c r="VTU1" s="110"/>
      <c r="VTV1" s="110"/>
      <c r="VTW1" s="110"/>
      <c r="VTX1" s="110"/>
      <c r="VTY1" s="110"/>
      <c r="VTZ1" s="110"/>
      <c r="VUA1" s="110"/>
      <c r="VUB1" s="110"/>
      <c r="VUC1" s="110"/>
      <c r="VUD1" s="110"/>
      <c r="VUE1" s="110"/>
      <c r="VUF1" s="110"/>
      <c r="VUG1" s="110"/>
      <c r="VUH1" s="110"/>
      <c r="VUI1" s="110"/>
      <c r="VUJ1" s="110"/>
      <c r="VUK1" s="110"/>
      <c r="VUL1" s="110"/>
      <c r="VUM1" s="110"/>
      <c r="VUN1" s="110"/>
      <c r="VUO1" s="110"/>
      <c r="VUP1" s="110"/>
      <c r="VUQ1" s="110"/>
      <c r="VUR1" s="110"/>
      <c r="VUS1" s="110"/>
      <c r="VUT1" s="110"/>
      <c r="VUU1" s="110"/>
      <c r="VUV1" s="110"/>
      <c r="VUW1" s="110"/>
      <c r="VUX1" s="110"/>
      <c r="VUY1" s="110"/>
      <c r="VUZ1" s="110"/>
      <c r="VVA1" s="110"/>
      <c r="VVB1" s="110"/>
      <c r="VVC1" s="110"/>
      <c r="VVD1" s="110"/>
      <c r="VVE1" s="110"/>
      <c r="VVF1" s="110"/>
      <c r="VVG1" s="110"/>
      <c r="VVH1" s="110"/>
      <c r="VVI1" s="110"/>
      <c r="VVJ1" s="110"/>
      <c r="VVK1" s="110"/>
      <c r="VVL1" s="110"/>
      <c r="VVM1" s="110"/>
      <c r="VVN1" s="110"/>
      <c r="VVO1" s="110"/>
      <c r="VVP1" s="110"/>
      <c r="VVQ1" s="110"/>
      <c r="VVR1" s="110"/>
      <c r="VVS1" s="110"/>
      <c r="VVT1" s="110"/>
      <c r="VVU1" s="110"/>
      <c r="VVV1" s="110"/>
      <c r="VVW1" s="110"/>
      <c r="VVX1" s="110"/>
      <c r="VVY1" s="110"/>
      <c r="VVZ1" s="110"/>
      <c r="VWA1" s="110"/>
      <c r="VWB1" s="110"/>
      <c r="VWC1" s="110"/>
      <c r="VWD1" s="110"/>
      <c r="VWE1" s="110"/>
      <c r="VWF1" s="110"/>
      <c r="VWG1" s="110"/>
      <c r="VWH1" s="110"/>
      <c r="VWI1" s="110"/>
      <c r="VWJ1" s="110"/>
      <c r="VWK1" s="110"/>
      <c r="VWL1" s="110"/>
      <c r="VWM1" s="110"/>
      <c r="VWN1" s="110"/>
      <c r="VWO1" s="110"/>
      <c r="VWP1" s="110"/>
      <c r="VWQ1" s="110"/>
      <c r="VWR1" s="110"/>
      <c r="VWS1" s="110"/>
      <c r="VWT1" s="110"/>
      <c r="VWU1" s="110"/>
      <c r="VWV1" s="110"/>
      <c r="VWW1" s="110"/>
      <c r="VWX1" s="110"/>
      <c r="VWY1" s="110"/>
      <c r="VWZ1" s="110"/>
      <c r="VXA1" s="110"/>
      <c r="VXB1" s="110"/>
      <c r="VXC1" s="110"/>
      <c r="VXD1" s="110"/>
      <c r="VXE1" s="110"/>
      <c r="VXF1" s="110"/>
      <c r="VXG1" s="110"/>
      <c r="VXH1" s="110"/>
      <c r="VXI1" s="110"/>
      <c r="VXJ1" s="110"/>
      <c r="VXK1" s="110"/>
      <c r="VXL1" s="110"/>
      <c r="VXM1" s="110"/>
      <c r="VXN1" s="110"/>
      <c r="VXO1" s="110"/>
      <c r="VXP1" s="110"/>
      <c r="VXQ1" s="110"/>
      <c r="VXR1" s="110"/>
      <c r="VXS1" s="110"/>
      <c r="VXT1" s="110"/>
      <c r="VXU1" s="110"/>
      <c r="VXV1" s="110"/>
      <c r="VXW1" s="110"/>
      <c r="VXX1" s="110"/>
      <c r="VXY1" s="110"/>
      <c r="VXZ1" s="110"/>
      <c r="VYA1" s="110"/>
      <c r="VYB1" s="110"/>
      <c r="VYC1" s="110"/>
      <c r="VYD1" s="110"/>
      <c r="VYE1" s="110"/>
      <c r="VYF1" s="110"/>
      <c r="VYG1" s="110"/>
      <c r="VYH1" s="110"/>
      <c r="VYI1" s="110"/>
      <c r="VYJ1" s="110"/>
      <c r="VYK1" s="110"/>
      <c r="VYL1" s="110"/>
      <c r="VYM1" s="110"/>
      <c r="VYN1" s="110"/>
      <c r="VYO1" s="110"/>
      <c r="VYP1" s="110"/>
      <c r="VYQ1" s="110"/>
      <c r="VYR1" s="110"/>
      <c r="VYS1" s="110"/>
      <c r="VYT1" s="110"/>
      <c r="VYU1" s="110"/>
      <c r="VYV1" s="110"/>
      <c r="VYW1" s="110"/>
      <c r="VYX1" s="110"/>
      <c r="VYY1" s="110"/>
      <c r="VYZ1" s="110"/>
      <c r="VZA1" s="110"/>
      <c r="VZB1" s="110"/>
      <c r="VZC1" s="110"/>
      <c r="VZD1" s="110"/>
      <c r="VZE1" s="110"/>
      <c r="VZF1" s="110"/>
      <c r="VZG1" s="110"/>
      <c r="VZH1" s="110"/>
      <c r="VZI1" s="110"/>
      <c r="VZJ1" s="110"/>
      <c r="VZK1" s="110"/>
      <c r="VZL1" s="110"/>
      <c r="VZM1" s="110"/>
      <c r="VZN1" s="110"/>
      <c r="VZO1" s="110"/>
      <c r="VZP1" s="110"/>
      <c r="VZQ1" s="110"/>
      <c r="VZR1" s="110"/>
      <c r="VZS1" s="110"/>
      <c r="VZT1" s="110"/>
      <c r="VZU1" s="110"/>
      <c r="VZV1" s="110"/>
      <c r="VZW1" s="110"/>
      <c r="VZX1" s="110"/>
      <c r="VZY1" s="110"/>
      <c r="VZZ1" s="110"/>
      <c r="WAA1" s="110"/>
      <c r="WAB1" s="110"/>
      <c r="WAC1" s="110"/>
      <c r="WAD1" s="110"/>
      <c r="WAE1" s="110"/>
      <c r="WAF1" s="110"/>
      <c r="WAG1" s="110"/>
      <c r="WAH1" s="110"/>
      <c r="WAI1" s="110"/>
      <c r="WAJ1" s="110"/>
      <c r="WAK1" s="110"/>
      <c r="WAL1" s="110"/>
      <c r="WAM1" s="110"/>
      <c r="WAN1" s="110"/>
      <c r="WAO1" s="110"/>
      <c r="WAP1" s="110"/>
      <c r="WAQ1" s="110"/>
      <c r="WAR1" s="110"/>
      <c r="WAS1" s="110"/>
      <c r="WAT1" s="110"/>
      <c r="WAU1" s="110"/>
      <c r="WAV1" s="110"/>
      <c r="WAW1" s="110"/>
      <c r="WAX1" s="110"/>
      <c r="WAY1" s="110"/>
      <c r="WAZ1" s="110"/>
      <c r="WBA1" s="110"/>
      <c r="WBB1" s="110"/>
      <c r="WBC1" s="110"/>
      <c r="WBD1" s="110"/>
      <c r="WBE1" s="110"/>
      <c r="WBF1" s="110"/>
      <c r="WBG1" s="110"/>
      <c r="WBH1" s="110"/>
      <c r="WBI1" s="110"/>
      <c r="WBJ1" s="110"/>
      <c r="WBK1" s="110"/>
      <c r="WBL1" s="110"/>
      <c r="WBM1" s="110"/>
      <c r="WBN1" s="110"/>
      <c r="WBO1" s="110"/>
      <c r="WBP1" s="110"/>
      <c r="WBQ1" s="110"/>
      <c r="WBR1" s="110"/>
      <c r="WBS1" s="110"/>
      <c r="WBT1" s="110"/>
      <c r="WBU1" s="110"/>
      <c r="WBV1" s="110"/>
      <c r="WBW1" s="110"/>
      <c r="WBX1" s="110"/>
      <c r="WBY1" s="110"/>
      <c r="WBZ1" s="110"/>
      <c r="WCA1" s="110"/>
      <c r="WCB1" s="110"/>
      <c r="WCC1" s="110"/>
      <c r="WCD1" s="110"/>
      <c r="WCE1" s="110"/>
      <c r="WCF1" s="110"/>
      <c r="WCG1" s="110"/>
      <c r="WCH1" s="110"/>
      <c r="WCI1" s="110"/>
      <c r="WCJ1" s="110"/>
      <c r="WCK1" s="110"/>
      <c r="WCL1" s="110"/>
      <c r="WCM1" s="110"/>
      <c r="WCN1" s="110"/>
      <c r="WCO1" s="110"/>
      <c r="WCP1" s="110"/>
      <c r="WCQ1" s="110"/>
      <c r="WCR1" s="110"/>
      <c r="WCS1" s="110"/>
      <c r="WCT1" s="110"/>
      <c r="WCU1" s="110"/>
      <c r="WCV1" s="110"/>
      <c r="WCW1" s="110"/>
      <c r="WCX1" s="110"/>
      <c r="WCY1" s="110"/>
      <c r="WCZ1" s="110"/>
      <c r="WDA1" s="110"/>
      <c r="WDB1" s="110"/>
      <c r="WDC1" s="110"/>
      <c r="WDD1" s="110"/>
      <c r="WDE1" s="110"/>
      <c r="WDF1" s="110"/>
      <c r="WDG1" s="110"/>
      <c r="WDH1" s="110"/>
      <c r="WDI1" s="110"/>
      <c r="WDJ1" s="110"/>
      <c r="WDK1" s="110"/>
      <c r="WDL1" s="110"/>
      <c r="WDM1" s="110"/>
      <c r="WDN1" s="110"/>
      <c r="WDO1" s="110"/>
      <c r="WDP1" s="110"/>
      <c r="WDQ1" s="110"/>
      <c r="WDR1" s="110"/>
      <c r="WDS1" s="110"/>
      <c r="WDT1" s="110"/>
      <c r="WDU1" s="110"/>
      <c r="WDV1" s="110"/>
      <c r="WDW1" s="110"/>
      <c r="WDX1" s="110"/>
      <c r="WDY1" s="110"/>
      <c r="WDZ1" s="110"/>
      <c r="WEA1" s="110"/>
      <c r="WEB1" s="110"/>
      <c r="WEC1" s="110"/>
      <c r="WED1" s="110"/>
      <c r="WEE1" s="110"/>
      <c r="WEF1" s="110"/>
      <c r="WEG1" s="110"/>
      <c r="WEH1" s="110"/>
      <c r="WEI1" s="110"/>
      <c r="WEJ1" s="110"/>
      <c r="WEK1" s="110"/>
      <c r="WEL1" s="110"/>
      <c r="WEM1" s="110"/>
      <c r="WEN1" s="110"/>
      <c r="WEO1" s="110"/>
      <c r="WEP1" s="110"/>
      <c r="WEQ1" s="110"/>
      <c r="WER1" s="110"/>
      <c r="WES1" s="110"/>
      <c r="WET1" s="110"/>
      <c r="WEU1" s="110"/>
      <c r="WEV1" s="110"/>
      <c r="WEW1" s="110"/>
      <c r="WEX1" s="110"/>
      <c r="WEY1" s="110"/>
      <c r="WEZ1" s="110"/>
      <c r="WFA1" s="110"/>
      <c r="WFB1" s="110"/>
      <c r="WFC1" s="110"/>
      <c r="WFD1" s="110"/>
      <c r="WFE1" s="110"/>
      <c r="WFF1" s="110"/>
      <c r="WFG1" s="110"/>
      <c r="WFH1" s="110"/>
      <c r="WFI1" s="110"/>
      <c r="WFJ1" s="110"/>
      <c r="WFK1" s="110"/>
      <c r="WFL1" s="110"/>
      <c r="WFM1" s="110"/>
      <c r="WFN1" s="110"/>
      <c r="WFO1" s="110"/>
      <c r="WFP1" s="110"/>
      <c r="WFQ1" s="110"/>
      <c r="WFR1" s="110"/>
      <c r="WFS1" s="110"/>
      <c r="WFT1" s="110"/>
      <c r="WFU1" s="110"/>
      <c r="WFV1" s="110"/>
      <c r="WFW1" s="110"/>
      <c r="WFX1" s="110"/>
      <c r="WFY1" s="110"/>
      <c r="WFZ1" s="110"/>
      <c r="WGA1" s="110"/>
      <c r="WGB1" s="110"/>
      <c r="WGC1" s="110"/>
      <c r="WGD1" s="110"/>
      <c r="WGE1" s="110"/>
      <c r="WGF1" s="110"/>
      <c r="WGG1" s="110"/>
      <c r="WGH1" s="110"/>
      <c r="WGI1" s="110"/>
      <c r="WGJ1" s="110"/>
      <c r="WGK1" s="110"/>
      <c r="WGL1" s="110"/>
      <c r="WGM1" s="110"/>
      <c r="WGN1" s="110"/>
      <c r="WGO1" s="110"/>
      <c r="WGP1" s="110"/>
      <c r="WGQ1" s="110"/>
      <c r="WGR1" s="110"/>
      <c r="WGS1" s="110"/>
      <c r="WGT1" s="110"/>
      <c r="WGU1" s="110"/>
      <c r="WGV1" s="110"/>
      <c r="WGW1" s="110"/>
      <c r="WGX1" s="110"/>
      <c r="WGY1" s="110"/>
      <c r="WGZ1" s="110"/>
      <c r="WHA1" s="110"/>
      <c r="WHB1" s="110"/>
      <c r="WHC1" s="110"/>
      <c r="WHD1" s="110"/>
      <c r="WHE1" s="110"/>
      <c r="WHF1" s="110"/>
      <c r="WHG1" s="110"/>
      <c r="WHH1" s="110"/>
      <c r="WHI1" s="110"/>
      <c r="WHJ1" s="110"/>
      <c r="WHK1" s="110"/>
      <c r="WHL1" s="110"/>
      <c r="WHM1" s="110"/>
      <c r="WHN1" s="110"/>
      <c r="WHO1" s="110"/>
      <c r="WHP1" s="110"/>
      <c r="WHQ1" s="110"/>
      <c r="WHR1" s="110"/>
      <c r="WHS1" s="110"/>
      <c r="WHT1" s="110"/>
      <c r="WHU1" s="110"/>
      <c r="WHV1" s="110"/>
      <c r="WHW1" s="110"/>
      <c r="WHX1" s="110"/>
      <c r="WHY1" s="110"/>
      <c r="WHZ1" s="110"/>
      <c r="WIA1" s="110"/>
      <c r="WIB1" s="110"/>
      <c r="WIC1" s="110"/>
      <c r="WID1" s="110"/>
      <c r="WIE1" s="110"/>
      <c r="WIF1" s="110"/>
      <c r="WIG1" s="110"/>
      <c r="WIH1" s="110"/>
      <c r="WII1" s="110"/>
      <c r="WIJ1" s="110"/>
      <c r="WIK1" s="110"/>
      <c r="WIL1" s="110"/>
      <c r="WIM1" s="110"/>
      <c r="WIN1" s="110"/>
      <c r="WIO1" s="110"/>
      <c r="WIP1" s="110"/>
      <c r="WIQ1" s="110"/>
      <c r="WIR1" s="110"/>
      <c r="WIS1" s="110"/>
      <c r="WIT1" s="110"/>
      <c r="WIU1" s="110"/>
      <c r="WIV1" s="110"/>
      <c r="WIW1" s="110"/>
      <c r="WIX1" s="110"/>
      <c r="WIY1" s="110"/>
      <c r="WIZ1" s="110"/>
      <c r="WJA1" s="110"/>
      <c r="WJB1" s="110"/>
      <c r="WJC1" s="110"/>
      <c r="WJD1" s="110"/>
      <c r="WJE1" s="110"/>
      <c r="WJF1" s="110"/>
      <c r="WJG1" s="110"/>
      <c r="WJH1" s="110"/>
      <c r="WJI1" s="110"/>
      <c r="WJJ1" s="110"/>
      <c r="WJK1" s="110"/>
      <c r="WJL1" s="110"/>
      <c r="WJM1" s="110"/>
      <c r="WJN1" s="110"/>
      <c r="WJO1" s="110"/>
      <c r="WJP1" s="110"/>
      <c r="WJQ1" s="110"/>
      <c r="WJR1" s="110"/>
      <c r="WJS1" s="110"/>
      <c r="WJT1" s="110"/>
      <c r="WJU1" s="110"/>
      <c r="WJV1" s="110"/>
      <c r="WJW1" s="110"/>
      <c r="WJX1" s="110"/>
      <c r="WJY1" s="110"/>
      <c r="WJZ1" s="110"/>
      <c r="WKA1" s="110"/>
      <c r="WKB1" s="110"/>
      <c r="WKC1" s="110"/>
      <c r="WKD1" s="110"/>
      <c r="WKE1" s="110"/>
      <c r="WKF1" s="110"/>
      <c r="WKG1" s="110"/>
      <c r="WKH1" s="110"/>
      <c r="WKI1" s="110"/>
      <c r="WKJ1" s="110"/>
      <c r="WKK1" s="110"/>
      <c r="WKL1" s="110"/>
      <c r="WKM1" s="110"/>
      <c r="WKN1" s="110"/>
      <c r="WKO1" s="110"/>
      <c r="WKP1" s="110"/>
      <c r="WKQ1" s="110"/>
      <c r="WKR1" s="110"/>
      <c r="WKS1" s="110"/>
      <c r="WKT1" s="110"/>
      <c r="WKU1" s="110"/>
      <c r="WKV1" s="110"/>
      <c r="WKW1" s="110"/>
      <c r="WKX1" s="110"/>
      <c r="WKY1" s="110"/>
      <c r="WKZ1" s="110"/>
      <c r="WLA1" s="110"/>
      <c r="WLB1" s="110"/>
      <c r="WLC1" s="110"/>
      <c r="WLD1" s="110"/>
      <c r="WLE1" s="110"/>
      <c r="WLF1" s="110"/>
      <c r="WLG1" s="110"/>
      <c r="WLH1" s="110"/>
      <c r="WLI1" s="110"/>
      <c r="WLJ1" s="110"/>
      <c r="WLK1" s="110"/>
      <c r="WLL1" s="110"/>
      <c r="WLM1" s="110"/>
      <c r="WLN1" s="110"/>
      <c r="WLO1" s="110"/>
      <c r="WLP1" s="110"/>
      <c r="WLQ1" s="110"/>
      <c r="WLR1" s="110"/>
      <c r="WLS1" s="110"/>
      <c r="WLT1" s="110"/>
      <c r="WLU1" s="110"/>
      <c r="WLV1" s="110"/>
      <c r="WLW1" s="110"/>
      <c r="WLX1" s="110"/>
      <c r="WLY1" s="110"/>
      <c r="WLZ1" s="110"/>
      <c r="WMA1" s="110"/>
      <c r="WMB1" s="110"/>
      <c r="WMC1" s="110"/>
      <c r="WMD1" s="110"/>
      <c r="WME1" s="110"/>
      <c r="WMF1" s="110"/>
      <c r="WMG1" s="110"/>
      <c r="WMH1" s="110"/>
      <c r="WMI1" s="110"/>
      <c r="WMJ1" s="110"/>
      <c r="WMK1" s="110"/>
      <c r="WML1" s="110"/>
      <c r="WMM1" s="110"/>
      <c r="WMN1" s="110"/>
      <c r="WMO1" s="110"/>
      <c r="WMP1" s="110"/>
      <c r="WMQ1" s="110"/>
      <c r="WMR1" s="110"/>
      <c r="WMS1" s="110"/>
      <c r="WMT1" s="110"/>
      <c r="WMU1" s="110"/>
      <c r="WMV1" s="110"/>
      <c r="WMW1" s="110"/>
      <c r="WMX1" s="110"/>
      <c r="WMY1" s="110"/>
      <c r="WMZ1" s="110"/>
      <c r="WNA1" s="110"/>
      <c r="WNB1" s="110"/>
      <c r="WNC1" s="110"/>
      <c r="WND1" s="110"/>
      <c r="WNE1" s="110"/>
      <c r="WNF1" s="110"/>
      <c r="WNG1" s="110"/>
      <c r="WNH1" s="110"/>
      <c r="WNI1" s="110"/>
      <c r="WNJ1" s="110"/>
      <c r="WNK1" s="110"/>
      <c r="WNL1" s="110"/>
      <c r="WNM1" s="110"/>
      <c r="WNN1" s="110"/>
      <c r="WNO1" s="110"/>
      <c r="WNP1" s="110"/>
      <c r="WNQ1" s="110"/>
      <c r="WNR1" s="110"/>
      <c r="WNS1" s="110"/>
      <c r="WNT1" s="110"/>
      <c r="WNU1" s="110"/>
      <c r="WNV1" s="110"/>
      <c r="WNW1" s="110"/>
      <c r="WNX1" s="110"/>
      <c r="WNY1" s="110"/>
      <c r="WNZ1" s="110"/>
      <c r="WOA1" s="110"/>
      <c r="WOB1" s="110"/>
      <c r="WOC1" s="110"/>
      <c r="WOD1" s="110"/>
      <c r="WOE1" s="110"/>
      <c r="WOF1" s="110"/>
      <c r="WOG1" s="110"/>
      <c r="WOH1" s="110"/>
      <c r="WOI1" s="110"/>
      <c r="WOJ1" s="110"/>
      <c r="WOK1" s="110"/>
      <c r="WOL1" s="110"/>
      <c r="WOM1" s="110"/>
      <c r="WON1" s="110"/>
      <c r="WOO1" s="110"/>
      <c r="WOP1" s="110"/>
      <c r="WOQ1" s="110"/>
      <c r="WOR1" s="110"/>
      <c r="WOS1" s="110"/>
      <c r="WOT1" s="110"/>
      <c r="WOU1" s="110"/>
      <c r="WOV1" s="110"/>
      <c r="WOW1" s="110"/>
      <c r="WOX1" s="110"/>
      <c r="WOY1" s="110"/>
      <c r="WOZ1" s="110"/>
      <c r="WPA1" s="110"/>
      <c r="WPB1" s="110"/>
      <c r="WPC1" s="110"/>
      <c r="WPD1" s="110"/>
      <c r="WPE1" s="110"/>
      <c r="WPF1" s="110"/>
      <c r="WPG1" s="110"/>
      <c r="WPH1" s="110"/>
      <c r="WPI1" s="110"/>
      <c r="WPJ1" s="110"/>
      <c r="WPK1" s="110"/>
      <c r="WPL1" s="110"/>
      <c r="WPM1" s="110"/>
      <c r="WPN1" s="110"/>
      <c r="WPO1" s="110"/>
      <c r="WPP1" s="110"/>
      <c r="WPQ1" s="110"/>
      <c r="WPR1" s="110"/>
      <c r="WPS1" s="110"/>
      <c r="WPT1" s="110"/>
      <c r="WPU1" s="110"/>
      <c r="WPV1" s="110"/>
      <c r="WPW1" s="110"/>
      <c r="WPX1" s="110"/>
      <c r="WPY1" s="110"/>
      <c r="WPZ1" s="110"/>
      <c r="WQA1" s="110"/>
      <c r="WQB1" s="110"/>
      <c r="WQC1" s="110"/>
      <c r="WQD1" s="110"/>
      <c r="WQE1" s="110"/>
      <c r="WQF1" s="110"/>
      <c r="WQG1" s="110"/>
      <c r="WQH1" s="110"/>
      <c r="WQI1" s="110"/>
      <c r="WQJ1" s="110"/>
      <c r="WQK1" s="110"/>
      <c r="WQL1" s="110"/>
      <c r="WQM1" s="110"/>
      <c r="WQN1" s="110"/>
      <c r="WQO1" s="110"/>
      <c r="WQP1" s="110"/>
      <c r="WQQ1" s="110"/>
      <c r="WQR1" s="110"/>
      <c r="WQS1" s="110"/>
      <c r="WQT1" s="110"/>
      <c r="WQU1" s="110"/>
      <c r="WQV1" s="110"/>
      <c r="WQW1" s="110"/>
      <c r="WQX1" s="110"/>
      <c r="WQY1" s="110"/>
      <c r="WQZ1" s="110"/>
      <c r="WRA1" s="110"/>
      <c r="WRB1" s="110"/>
      <c r="WRC1" s="110"/>
      <c r="WRD1" s="110"/>
      <c r="WRE1" s="110"/>
      <c r="WRF1" s="110"/>
      <c r="WRG1" s="110"/>
      <c r="WRH1" s="110"/>
      <c r="WRI1" s="110"/>
      <c r="WRJ1" s="110"/>
      <c r="WRK1" s="110"/>
      <c r="WRL1" s="110"/>
      <c r="WRM1" s="110"/>
      <c r="WRN1" s="110"/>
      <c r="WRO1" s="110"/>
      <c r="WRP1" s="110"/>
      <c r="WRQ1" s="110"/>
      <c r="WRR1" s="110"/>
      <c r="WRS1" s="110"/>
      <c r="WRT1" s="110"/>
      <c r="WRU1" s="110"/>
      <c r="WRV1" s="110"/>
      <c r="WRW1" s="110"/>
      <c r="WRX1" s="110"/>
      <c r="WRY1" s="110"/>
      <c r="WRZ1" s="110"/>
      <c r="WSA1" s="110"/>
      <c r="WSB1" s="110"/>
      <c r="WSC1" s="110"/>
      <c r="WSD1" s="110"/>
      <c r="WSE1" s="110"/>
      <c r="WSF1" s="110"/>
      <c r="WSG1" s="110"/>
      <c r="WSH1" s="110"/>
      <c r="WSI1" s="110"/>
      <c r="WSJ1" s="110"/>
      <c r="WSK1" s="110"/>
      <c r="WSL1" s="110"/>
      <c r="WSM1" s="110"/>
      <c r="WSN1" s="110"/>
      <c r="WSO1" s="110"/>
      <c r="WSP1" s="110"/>
      <c r="WSQ1" s="110"/>
      <c r="WSR1" s="110"/>
      <c r="WSS1" s="110"/>
      <c r="WST1" s="110"/>
      <c r="WSU1" s="110"/>
      <c r="WSV1" s="110"/>
      <c r="WSW1" s="110"/>
      <c r="WSX1" s="110"/>
      <c r="WSY1" s="110"/>
      <c r="WSZ1" s="110"/>
      <c r="WTA1" s="110"/>
      <c r="WTB1" s="110"/>
      <c r="WTC1" s="110"/>
      <c r="WTD1" s="110"/>
      <c r="WTE1" s="110"/>
      <c r="WTF1" s="110"/>
      <c r="WTG1" s="110"/>
      <c r="WTH1" s="110"/>
      <c r="WTI1" s="110"/>
      <c r="WTJ1" s="110"/>
      <c r="WTK1" s="110"/>
      <c r="WTL1" s="110"/>
      <c r="WTM1" s="110"/>
      <c r="WTN1" s="110"/>
      <c r="WTO1" s="110"/>
      <c r="WTP1" s="110"/>
      <c r="WTQ1" s="110"/>
      <c r="WTR1" s="110"/>
      <c r="WTS1" s="110"/>
      <c r="WTT1" s="110"/>
      <c r="WTU1" s="110"/>
      <c r="WTV1" s="110"/>
      <c r="WTW1" s="110"/>
      <c r="WTX1" s="110"/>
      <c r="WTY1" s="110"/>
      <c r="WTZ1" s="110"/>
      <c r="WUA1" s="110"/>
      <c r="WUB1" s="110"/>
      <c r="WUC1" s="110"/>
      <c r="WUD1" s="110"/>
      <c r="WUE1" s="110"/>
      <c r="WUF1" s="110"/>
      <c r="WUG1" s="110"/>
      <c r="WUH1" s="110"/>
      <c r="WUI1" s="110"/>
      <c r="WUJ1" s="110"/>
      <c r="WUK1" s="110"/>
      <c r="WUL1" s="110"/>
      <c r="WUM1" s="110"/>
      <c r="WUN1" s="110"/>
      <c r="WUO1" s="110"/>
      <c r="WUP1" s="110"/>
      <c r="WUQ1" s="110"/>
      <c r="WUR1" s="110"/>
      <c r="WUS1" s="110"/>
      <c r="WUT1" s="110"/>
      <c r="WUU1" s="110"/>
      <c r="WUV1" s="110"/>
      <c r="WUW1" s="110"/>
      <c r="WUX1" s="110"/>
      <c r="WUY1" s="110"/>
      <c r="WUZ1" s="110"/>
      <c r="WVA1" s="110"/>
      <c r="WVB1" s="110"/>
      <c r="WVC1" s="110"/>
      <c r="WVD1" s="110"/>
      <c r="WVE1" s="110"/>
      <c r="WVF1" s="110"/>
      <c r="WVG1" s="110"/>
      <c r="WVH1" s="110"/>
      <c r="WVI1" s="110"/>
      <c r="WVJ1" s="110"/>
      <c r="WVK1" s="110"/>
      <c r="WVL1" s="110"/>
      <c r="WVM1" s="110"/>
      <c r="WVN1" s="110"/>
      <c r="WVO1" s="110"/>
      <c r="WVP1" s="110"/>
      <c r="WVQ1" s="110"/>
      <c r="WVR1" s="110"/>
      <c r="WVS1" s="110"/>
      <c r="WVT1" s="110"/>
      <c r="WVU1" s="110"/>
      <c r="WVV1" s="110"/>
      <c r="WVW1" s="110"/>
      <c r="WVX1" s="110"/>
      <c r="WVY1" s="110"/>
      <c r="WVZ1" s="110"/>
      <c r="WWA1" s="110"/>
      <c r="WWB1" s="110"/>
      <c r="WWC1" s="110"/>
      <c r="WWD1" s="110"/>
      <c r="WWE1" s="110"/>
      <c r="WWF1" s="110"/>
      <c r="WWG1" s="110"/>
      <c r="WWH1" s="110"/>
      <c r="WWI1" s="110"/>
      <c r="WWJ1" s="110"/>
      <c r="WWK1" s="110"/>
      <c r="WWL1" s="110"/>
      <c r="WWM1" s="110"/>
      <c r="WWN1" s="110"/>
      <c r="WWO1" s="110"/>
      <c r="WWP1" s="110"/>
      <c r="WWQ1" s="110"/>
      <c r="WWR1" s="110"/>
      <c r="WWS1" s="110"/>
      <c r="WWT1" s="110"/>
      <c r="WWU1" s="110"/>
      <c r="WWV1" s="110"/>
      <c r="WWW1" s="110"/>
      <c r="WWX1" s="110"/>
      <c r="WWY1" s="110"/>
      <c r="WWZ1" s="110"/>
      <c r="WXA1" s="110"/>
      <c r="WXB1" s="110"/>
      <c r="WXC1" s="110"/>
      <c r="WXD1" s="110"/>
      <c r="WXE1" s="110"/>
      <c r="WXF1" s="110"/>
      <c r="WXG1" s="110"/>
      <c r="WXH1" s="110"/>
      <c r="WXI1" s="110"/>
      <c r="WXJ1" s="110"/>
      <c r="WXK1" s="110"/>
      <c r="WXL1" s="110"/>
      <c r="WXM1" s="110"/>
      <c r="WXN1" s="110"/>
      <c r="WXO1" s="110"/>
      <c r="WXP1" s="110"/>
      <c r="WXQ1" s="110"/>
      <c r="WXR1" s="110"/>
      <c r="WXS1" s="110"/>
      <c r="WXT1" s="110"/>
      <c r="WXU1" s="110"/>
      <c r="WXV1" s="110"/>
      <c r="WXW1" s="110"/>
      <c r="WXX1" s="110"/>
      <c r="WXY1" s="110"/>
      <c r="WXZ1" s="110"/>
      <c r="WYA1" s="110"/>
      <c r="WYB1" s="110"/>
      <c r="WYC1" s="110"/>
      <c r="WYD1" s="110"/>
      <c r="WYE1" s="110"/>
      <c r="WYF1" s="110"/>
      <c r="WYG1" s="110"/>
      <c r="WYH1" s="110"/>
      <c r="WYI1" s="110"/>
      <c r="WYJ1" s="110"/>
      <c r="WYK1" s="110"/>
      <c r="WYL1" s="110"/>
      <c r="WYM1" s="110"/>
      <c r="WYN1" s="110"/>
      <c r="WYO1" s="110"/>
      <c r="WYP1" s="110"/>
      <c r="WYQ1" s="110"/>
      <c r="WYR1" s="110"/>
      <c r="WYS1" s="110"/>
      <c r="WYT1" s="110"/>
      <c r="WYU1" s="110"/>
      <c r="WYV1" s="110"/>
      <c r="WYW1" s="110"/>
      <c r="WYX1" s="110"/>
      <c r="WYY1" s="110"/>
      <c r="WYZ1" s="110"/>
      <c r="WZA1" s="110"/>
      <c r="WZB1" s="110"/>
      <c r="WZC1" s="110"/>
      <c r="WZD1" s="110"/>
      <c r="WZE1" s="110"/>
      <c r="WZF1" s="110"/>
      <c r="WZG1" s="110"/>
      <c r="WZH1" s="110"/>
      <c r="WZI1" s="110"/>
      <c r="WZJ1" s="110"/>
      <c r="WZK1" s="110"/>
      <c r="WZL1" s="110"/>
      <c r="WZM1" s="110"/>
      <c r="WZN1" s="110"/>
      <c r="WZO1" s="110"/>
      <c r="WZP1" s="110"/>
      <c r="WZQ1" s="110"/>
      <c r="WZR1" s="110"/>
      <c r="WZS1" s="110"/>
      <c r="WZT1" s="110"/>
      <c r="WZU1" s="110"/>
      <c r="WZV1" s="110"/>
      <c r="WZW1" s="110"/>
      <c r="WZX1" s="110"/>
      <c r="WZY1" s="110"/>
      <c r="WZZ1" s="110"/>
      <c r="XAA1" s="110"/>
      <c r="XAB1" s="110"/>
      <c r="XAC1" s="110"/>
      <c r="XAD1" s="110"/>
      <c r="XAE1" s="110"/>
      <c r="XAF1" s="110"/>
      <c r="XAG1" s="110"/>
      <c r="XAH1" s="110"/>
      <c r="XAI1" s="110"/>
      <c r="XAJ1" s="110"/>
      <c r="XAK1" s="110"/>
      <c r="XAL1" s="110"/>
      <c r="XAM1" s="110"/>
      <c r="XAN1" s="110"/>
      <c r="XAO1" s="110"/>
      <c r="XAP1" s="110"/>
      <c r="XAQ1" s="110"/>
      <c r="XAR1" s="110"/>
      <c r="XAS1" s="110"/>
      <c r="XAT1" s="110"/>
      <c r="XAU1" s="110"/>
      <c r="XAV1" s="110"/>
      <c r="XAW1" s="110"/>
      <c r="XAX1" s="110"/>
      <c r="XAY1" s="110"/>
      <c r="XAZ1" s="110"/>
      <c r="XBA1" s="110"/>
      <c r="XBB1" s="110"/>
      <c r="XBC1" s="110"/>
      <c r="XBD1" s="110"/>
      <c r="XBE1" s="110"/>
      <c r="XBF1" s="110"/>
      <c r="XBG1" s="110"/>
      <c r="XBH1" s="110"/>
      <c r="XBI1" s="110"/>
      <c r="XBJ1" s="110"/>
      <c r="XBK1" s="110"/>
      <c r="XBL1" s="110"/>
      <c r="XBM1" s="110"/>
      <c r="XBN1" s="110"/>
      <c r="XBO1" s="110"/>
      <c r="XBP1" s="110"/>
      <c r="XBQ1" s="110"/>
      <c r="XBR1" s="110"/>
      <c r="XBS1" s="110"/>
      <c r="XBT1" s="110"/>
      <c r="XBU1" s="110"/>
      <c r="XBV1" s="110"/>
      <c r="XBW1" s="110"/>
      <c r="XBX1" s="110"/>
      <c r="XBY1" s="110"/>
      <c r="XBZ1" s="110"/>
      <c r="XCA1" s="110"/>
      <c r="XCB1" s="110"/>
      <c r="XCC1" s="110"/>
      <c r="XCD1" s="110"/>
      <c r="XCE1" s="110"/>
      <c r="XCF1" s="110"/>
      <c r="XCG1" s="110"/>
      <c r="XCH1" s="110"/>
      <c r="XCI1" s="110"/>
      <c r="XCJ1" s="110"/>
      <c r="XCK1" s="110"/>
      <c r="XCL1" s="110"/>
      <c r="XCM1" s="110"/>
      <c r="XCN1" s="110"/>
      <c r="XCO1" s="110"/>
      <c r="XCP1" s="110"/>
      <c r="XCQ1" s="110"/>
      <c r="XCR1" s="110"/>
      <c r="XCS1" s="110"/>
      <c r="XCT1" s="110"/>
      <c r="XCU1" s="110"/>
      <c r="XCV1" s="110"/>
      <c r="XCW1" s="110"/>
      <c r="XCX1" s="110"/>
      <c r="XCY1" s="110"/>
      <c r="XCZ1" s="110"/>
      <c r="XDA1" s="110"/>
      <c r="XDB1" s="110"/>
      <c r="XDC1" s="110"/>
      <c r="XDD1" s="110"/>
      <c r="XDE1" s="110"/>
      <c r="XDF1" s="110"/>
      <c r="XDG1" s="110"/>
      <c r="XDH1" s="110"/>
      <c r="XDI1" s="110"/>
      <c r="XDJ1" s="110"/>
      <c r="XDK1" s="110"/>
      <c r="XDL1" s="110"/>
      <c r="XDM1" s="110"/>
      <c r="XDN1" s="110"/>
      <c r="XDO1" s="110"/>
      <c r="XDP1" s="110"/>
      <c r="XDQ1" s="110"/>
      <c r="XDR1" s="110"/>
      <c r="XDS1" s="110"/>
      <c r="XDT1" s="110"/>
      <c r="XDU1" s="110"/>
      <c r="XDV1" s="110"/>
      <c r="XDW1" s="110"/>
      <c r="XDX1" s="110"/>
      <c r="XDY1" s="110"/>
      <c r="XDZ1" s="110"/>
      <c r="XEA1" s="110"/>
      <c r="XEB1" s="110"/>
      <c r="XEC1" s="110"/>
      <c r="XED1" s="110"/>
      <c r="XEE1" s="110"/>
      <c r="XEF1" s="110"/>
      <c r="XEG1" s="110"/>
      <c r="XEH1" s="110"/>
      <c r="XEI1" s="110"/>
      <c r="XEJ1" s="110"/>
      <c r="XEK1" s="110"/>
      <c r="XEL1" s="110"/>
      <c r="XEM1" s="110"/>
      <c r="XEN1" s="110"/>
      <c r="XEO1" s="110"/>
      <c r="XEP1" s="110"/>
      <c r="XEQ1" s="110"/>
      <c r="XER1" s="110"/>
      <c r="XES1" s="110"/>
      <c r="XET1" s="110"/>
      <c r="XEU1" s="110"/>
      <c r="XEV1" s="110"/>
      <c r="XEW1" s="110"/>
      <c r="XEX1" s="110"/>
      <c r="XEY1" s="110"/>
      <c r="XEZ1" s="110"/>
      <c r="XFA1" s="110"/>
      <c r="XFB1" s="110"/>
      <c r="XFC1" s="110"/>
      <c r="XFD1" s="110"/>
    </row>
    <row r="2" spans="1:16384" ht="29.25" customHeight="1">
      <c r="A2" s="269" t="s">
        <v>720</v>
      </c>
      <c r="B2" s="269"/>
      <c r="C2" s="269"/>
      <c r="D2" s="269"/>
      <c r="E2" s="269"/>
    </row>
    <row r="3" spans="1:16384" ht="21" customHeight="1">
      <c r="A3" s="144"/>
      <c r="B3" s="144"/>
      <c r="C3" s="144"/>
      <c r="D3" s="144"/>
      <c r="E3" s="145" t="s">
        <v>28</v>
      </c>
    </row>
    <row r="4" spans="1:16384" ht="24" customHeight="1">
      <c r="A4" s="146" t="s">
        <v>278</v>
      </c>
      <c r="B4" s="146" t="s">
        <v>49</v>
      </c>
      <c r="C4" s="146" t="s">
        <v>319</v>
      </c>
      <c r="D4" s="146" t="s">
        <v>279</v>
      </c>
      <c r="E4" s="146" t="s">
        <v>280</v>
      </c>
    </row>
    <row r="5" spans="1:16384" ht="22.5" customHeight="1">
      <c r="A5" s="147" t="s">
        <v>732</v>
      </c>
      <c r="B5" s="147">
        <f>SUM(C5:E5)</f>
        <v>427</v>
      </c>
      <c r="C5" s="147"/>
      <c r="D5" s="147">
        <v>401</v>
      </c>
      <c r="E5" s="147">
        <v>26</v>
      </c>
    </row>
    <row r="6" spans="1:16384" ht="22.5" customHeight="1">
      <c r="A6" s="147" t="s">
        <v>733</v>
      </c>
      <c r="B6" s="147">
        <f t="shared" ref="B6:B15" si="0">SUM(C6:E6)</f>
        <v>79</v>
      </c>
      <c r="C6" s="147"/>
      <c r="D6" s="147">
        <v>4</v>
      </c>
      <c r="E6" s="147">
        <v>75</v>
      </c>
    </row>
    <row r="7" spans="1:16384" ht="22.5" customHeight="1">
      <c r="A7" s="147" t="s">
        <v>734</v>
      </c>
      <c r="B7" s="147">
        <f t="shared" si="0"/>
        <v>157</v>
      </c>
      <c r="C7" s="147"/>
      <c r="D7" s="147">
        <v>92</v>
      </c>
      <c r="E7" s="147">
        <v>65</v>
      </c>
    </row>
    <row r="8" spans="1:16384" ht="22.5" customHeight="1">
      <c r="A8" s="147" t="s">
        <v>735</v>
      </c>
      <c r="B8" s="147">
        <f t="shared" si="0"/>
        <v>104</v>
      </c>
      <c r="C8" s="147"/>
      <c r="D8" s="147">
        <v>79</v>
      </c>
      <c r="E8" s="147">
        <v>25</v>
      </c>
    </row>
    <row r="9" spans="1:16384" ht="22.5" customHeight="1">
      <c r="A9" s="147" t="s">
        <v>736</v>
      </c>
      <c r="B9" s="147">
        <f t="shared" si="0"/>
        <v>58</v>
      </c>
      <c r="C9" s="147"/>
      <c r="D9" s="147">
        <v>43</v>
      </c>
      <c r="E9" s="147">
        <v>15</v>
      </c>
    </row>
    <row r="10" spans="1:16384" ht="22.5" customHeight="1">
      <c r="A10" s="147" t="s">
        <v>737</v>
      </c>
      <c r="B10" s="147">
        <f t="shared" si="0"/>
        <v>56</v>
      </c>
      <c r="C10" s="147"/>
      <c r="D10" s="147">
        <v>41</v>
      </c>
      <c r="E10" s="147">
        <v>15</v>
      </c>
    </row>
    <row r="11" spans="1:16384" ht="22.5" customHeight="1">
      <c r="A11" s="147" t="s">
        <v>738</v>
      </c>
      <c r="B11" s="147">
        <f t="shared" si="0"/>
        <v>69</v>
      </c>
      <c r="C11" s="147"/>
      <c r="D11" s="147">
        <v>54</v>
      </c>
      <c r="E11" s="147">
        <v>15</v>
      </c>
    </row>
    <row r="12" spans="1:16384" ht="22.5" customHeight="1">
      <c r="A12" s="147" t="s">
        <v>739</v>
      </c>
      <c r="B12" s="147">
        <f t="shared" si="0"/>
        <v>18</v>
      </c>
      <c r="C12" s="147"/>
      <c r="D12" s="147">
        <v>3</v>
      </c>
      <c r="E12" s="147">
        <v>15</v>
      </c>
    </row>
    <row r="13" spans="1:16384" ht="22.5" customHeight="1">
      <c r="A13" s="147" t="s">
        <v>740</v>
      </c>
      <c r="B13" s="147">
        <f t="shared" si="0"/>
        <v>17</v>
      </c>
      <c r="C13" s="147"/>
      <c r="D13" s="147">
        <v>2</v>
      </c>
      <c r="E13" s="147">
        <v>15</v>
      </c>
    </row>
    <row r="14" spans="1:16384" ht="22.5" customHeight="1">
      <c r="A14" s="147" t="s">
        <v>741</v>
      </c>
      <c r="B14" s="147">
        <f t="shared" si="0"/>
        <v>69</v>
      </c>
      <c r="C14" s="147"/>
      <c r="D14" s="147">
        <v>44</v>
      </c>
      <c r="E14" s="147">
        <v>25</v>
      </c>
    </row>
    <row r="15" spans="1:16384" ht="22.5" customHeight="1">
      <c r="A15" s="147" t="s">
        <v>742</v>
      </c>
      <c r="B15" s="147">
        <f t="shared" si="0"/>
        <v>61</v>
      </c>
      <c r="C15" s="147"/>
      <c r="D15" s="147">
        <v>46</v>
      </c>
      <c r="E15" s="147">
        <v>15</v>
      </c>
    </row>
    <row r="16" spans="1:16384" ht="22.5" customHeight="1">
      <c r="A16" s="146" t="s">
        <v>31</v>
      </c>
      <c r="B16" s="146">
        <f>SUM(B5:B15)</f>
        <v>1115</v>
      </c>
      <c r="C16" s="146">
        <f t="shared" ref="C16:E16" si="1">SUM(C5:C15)</f>
        <v>0</v>
      </c>
      <c r="D16" s="146">
        <f t="shared" si="1"/>
        <v>809</v>
      </c>
      <c r="E16" s="146">
        <f t="shared" si="1"/>
        <v>306</v>
      </c>
    </row>
  </sheetData>
  <mergeCells count="1">
    <mergeCell ref="A2:E2"/>
  </mergeCells>
  <phoneticPr fontId="37" type="noConversion"/>
  <printOptions horizontalCentered="1"/>
  <pageMargins left="0.51181102362204722" right="0.59055118110236227" top="0.74803149606299213" bottom="0.74803149606299213" header="0.31496062992125984" footer="0.31496062992125984"/>
  <pageSetup paperSize="9" firstPageNumber="25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5"/>
  <sheetViews>
    <sheetView workbookViewId="0">
      <selection activeCell="G10" sqref="G10"/>
    </sheetView>
  </sheetViews>
  <sheetFormatPr defaultColWidth="8.625" defaultRowHeight="14.25"/>
  <cols>
    <col min="1" max="1" width="43.125" style="149" customWidth="1"/>
    <col min="2" max="2" width="13" style="149" customWidth="1"/>
    <col min="3" max="3" width="13.5" style="149" customWidth="1"/>
    <col min="4" max="4" width="16" style="149" customWidth="1"/>
    <col min="5" max="16384" width="8.625" style="149"/>
  </cols>
  <sheetData>
    <row r="1" spans="1:5" ht="22.35" customHeight="1">
      <c r="A1" s="148" t="s">
        <v>294</v>
      </c>
      <c r="B1" s="148"/>
      <c r="C1" s="148"/>
      <c r="D1" s="148"/>
    </row>
    <row r="2" spans="1:5" ht="35.25" customHeight="1">
      <c r="A2" s="270" t="s">
        <v>721</v>
      </c>
      <c r="B2" s="270"/>
      <c r="C2" s="270"/>
      <c r="D2" s="270"/>
    </row>
    <row r="3" spans="1:5" ht="24.75" customHeight="1">
      <c r="A3" s="271" t="s">
        <v>28</v>
      </c>
      <c r="B3" s="271"/>
      <c r="C3" s="271"/>
      <c r="D3" s="271"/>
    </row>
    <row r="4" spans="1:5" ht="42.75" customHeight="1">
      <c r="A4" s="33" t="s">
        <v>30</v>
      </c>
      <c r="B4" s="55" t="s">
        <v>138</v>
      </c>
      <c r="C4" s="56" t="s">
        <v>334</v>
      </c>
      <c r="D4" s="56" t="s">
        <v>335</v>
      </c>
    </row>
    <row r="5" spans="1:5" ht="30.75" customHeight="1">
      <c r="A5" s="34" t="s">
        <v>31</v>
      </c>
      <c r="B5" s="83">
        <f>SUM(B6:B8)</f>
        <v>2346</v>
      </c>
      <c r="C5" s="83">
        <f>SUM(C6:C8)</f>
        <v>2350</v>
      </c>
      <c r="D5" s="105">
        <f t="shared" ref="D5:D10" si="0">IF(C5=0,0,B5*100/C5)</f>
        <v>99.83</v>
      </c>
    </row>
    <row r="6" spans="1:5" ht="32.450000000000003" customHeight="1">
      <c r="A6" s="35" t="s">
        <v>33</v>
      </c>
      <c r="B6" s="198">
        <v>82</v>
      </c>
      <c r="C6" s="84">
        <v>83</v>
      </c>
      <c r="D6" s="105">
        <f t="shared" si="0"/>
        <v>98.8</v>
      </c>
    </row>
    <row r="7" spans="1:5" ht="32.450000000000003" customHeight="1">
      <c r="A7" s="35" t="s">
        <v>34</v>
      </c>
      <c r="B7" s="198">
        <v>809</v>
      </c>
      <c r="C7" s="84">
        <v>809</v>
      </c>
      <c r="D7" s="105">
        <f t="shared" si="0"/>
        <v>100</v>
      </c>
    </row>
    <row r="8" spans="1:5" ht="32.450000000000003" customHeight="1">
      <c r="A8" s="35" t="s">
        <v>135</v>
      </c>
      <c r="B8" s="198">
        <f>SUM(B9:B10)</f>
        <v>1455</v>
      </c>
      <c r="C8" s="83">
        <f>SUM(C9:C10)</f>
        <v>1458</v>
      </c>
      <c r="D8" s="105">
        <f t="shared" si="0"/>
        <v>99.79</v>
      </c>
    </row>
    <row r="9" spans="1:5" ht="32.450000000000003" customHeight="1">
      <c r="A9" s="36" t="s">
        <v>134</v>
      </c>
      <c r="B9" s="199">
        <v>1063</v>
      </c>
      <c r="C9" s="84">
        <v>1066</v>
      </c>
      <c r="D9" s="105">
        <f t="shared" si="0"/>
        <v>99.72</v>
      </c>
      <c r="E9" s="29"/>
    </row>
    <row r="10" spans="1:5" ht="32.450000000000003" customHeight="1">
      <c r="A10" s="36" t="s">
        <v>35</v>
      </c>
      <c r="B10" s="199">
        <v>392</v>
      </c>
      <c r="C10" s="84">
        <v>392</v>
      </c>
      <c r="D10" s="105">
        <f t="shared" si="0"/>
        <v>100</v>
      </c>
    </row>
    <row r="11" spans="1:5" ht="100.5" customHeight="1">
      <c r="A11" s="253" t="s">
        <v>667</v>
      </c>
      <c r="B11" s="253"/>
      <c r="C11" s="253"/>
      <c r="D11" s="253"/>
    </row>
    <row r="12" spans="1:5" ht="16.5" customHeight="1">
      <c r="A12" s="150"/>
      <c r="B12" s="150"/>
      <c r="C12" s="150"/>
      <c r="D12" s="150"/>
    </row>
    <row r="13" spans="1:5">
      <c r="A13" s="151"/>
      <c r="B13" s="151"/>
      <c r="C13" s="151"/>
      <c r="D13" s="151"/>
    </row>
    <row r="14" spans="1:5">
      <c r="A14" s="152"/>
      <c r="B14" s="152"/>
      <c r="C14" s="152"/>
      <c r="D14" s="152"/>
    </row>
    <row r="15" spans="1:5">
      <c r="A15" s="152"/>
      <c r="B15" s="152"/>
      <c r="C15" s="152"/>
      <c r="D15" s="152"/>
    </row>
  </sheetData>
  <mergeCells count="3">
    <mergeCell ref="A2:D2"/>
    <mergeCell ref="A3:D3"/>
    <mergeCell ref="A11:D11"/>
  </mergeCells>
  <phoneticPr fontId="37" type="noConversion"/>
  <pageMargins left="0.70866141732283472" right="0.70866141732283472" top="0.74803149606299213" bottom="0.74803149606299213" header="0.31496062992125984" footer="0.31496062992125984"/>
  <pageSetup paperSize="9" scale="95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1"/>
  <sheetViews>
    <sheetView showZeros="0" workbookViewId="0">
      <selection activeCell="F9" sqref="F9"/>
    </sheetView>
  </sheetViews>
  <sheetFormatPr defaultRowHeight="14.25"/>
  <cols>
    <col min="1" max="1" width="41.625" style="110" bestFit="1" customWidth="1"/>
    <col min="2" max="2" width="14.625" style="110" customWidth="1"/>
    <col min="3" max="3" width="11.5" style="110" customWidth="1"/>
    <col min="4" max="4" width="15.625" style="110" customWidth="1"/>
    <col min="5" max="16384" width="9" style="110"/>
  </cols>
  <sheetData>
    <row r="1" spans="1:6" ht="22.15" customHeight="1">
      <c r="A1" s="110" t="s">
        <v>293</v>
      </c>
    </row>
    <row r="2" spans="1:6" ht="27" customHeight="1">
      <c r="A2" s="272" t="s">
        <v>722</v>
      </c>
      <c r="B2" s="272"/>
      <c r="C2" s="272"/>
      <c r="D2" s="272"/>
    </row>
    <row r="3" spans="1:6" ht="17.25" customHeight="1">
      <c r="A3" s="153"/>
      <c r="B3" s="154"/>
      <c r="C3" s="154"/>
      <c r="D3" s="142" t="s">
        <v>36</v>
      </c>
    </row>
    <row r="4" spans="1:6" ht="46.15" customHeight="1">
      <c r="A4" s="38" t="s">
        <v>65</v>
      </c>
      <c r="B4" s="55" t="s">
        <v>18</v>
      </c>
      <c r="C4" s="56" t="s">
        <v>320</v>
      </c>
      <c r="D4" s="56" t="s">
        <v>335</v>
      </c>
    </row>
    <row r="5" spans="1:6" ht="25.5" customHeight="1">
      <c r="A5" s="87" t="s">
        <v>329</v>
      </c>
      <c r="B5" s="200">
        <v>21394</v>
      </c>
      <c r="C5" s="49">
        <v>24097</v>
      </c>
      <c r="D5" s="103">
        <f t="shared" ref="D5:D15" si="0">IF(C5=0,0,B5*100/C5)</f>
        <v>88.78</v>
      </c>
    </row>
    <row r="6" spans="1:6" ht="25.5" customHeight="1">
      <c r="A6" s="87" t="s">
        <v>330</v>
      </c>
      <c r="B6" s="200">
        <v>1276</v>
      </c>
      <c r="C6" s="49">
        <v>2528</v>
      </c>
      <c r="D6" s="103">
        <f t="shared" si="0"/>
        <v>50.47</v>
      </c>
    </row>
    <row r="7" spans="1:6" ht="25.5" customHeight="1">
      <c r="A7" s="87" t="s">
        <v>331</v>
      </c>
      <c r="B7" s="200">
        <v>1047993</v>
      </c>
      <c r="C7" s="49">
        <v>1152039</v>
      </c>
      <c r="D7" s="103">
        <f t="shared" si="0"/>
        <v>90.97</v>
      </c>
      <c r="F7" s="26"/>
    </row>
    <row r="8" spans="1:6" ht="25.5" customHeight="1">
      <c r="A8" s="87" t="s">
        <v>321</v>
      </c>
      <c r="B8" s="200">
        <v>3877</v>
      </c>
      <c r="C8" s="49">
        <v>3570</v>
      </c>
      <c r="D8" s="103">
        <f t="shared" si="0"/>
        <v>108.6</v>
      </c>
    </row>
    <row r="9" spans="1:6" ht="25.5" customHeight="1">
      <c r="A9" s="87" t="s">
        <v>332</v>
      </c>
      <c r="B9" s="200">
        <v>9060</v>
      </c>
      <c r="C9" s="49">
        <v>14467</v>
      </c>
      <c r="D9" s="103">
        <f t="shared" si="0"/>
        <v>62.63</v>
      </c>
    </row>
    <row r="10" spans="1:6" ht="25.5" customHeight="1">
      <c r="A10" s="87" t="s">
        <v>322</v>
      </c>
      <c r="B10" s="200">
        <v>12458</v>
      </c>
      <c r="C10" s="49">
        <v>9960</v>
      </c>
      <c r="D10" s="103">
        <f t="shared" si="0"/>
        <v>125.08</v>
      </c>
    </row>
    <row r="11" spans="1:6" ht="25.5" customHeight="1">
      <c r="A11" s="87" t="s">
        <v>333</v>
      </c>
      <c r="B11" s="200"/>
      <c r="C11" s="49">
        <v>4314</v>
      </c>
      <c r="D11" s="103">
        <f t="shared" si="0"/>
        <v>0</v>
      </c>
    </row>
    <row r="12" spans="1:6" ht="25.5" customHeight="1">
      <c r="A12" s="38" t="s">
        <v>272</v>
      </c>
      <c r="B12" s="200">
        <f>SUM(B5:B11)</f>
        <v>1096058</v>
      </c>
      <c r="C12" s="49">
        <f>SUM(C5:C11)</f>
        <v>1210975</v>
      </c>
      <c r="D12" s="103">
        <f t="shared" si="0"/>
        <v>90.51</v>
      </c>
    </row>
    <row r="13" spans="1:6" ht="25.5" customHeight="1">
      <c r="A13" s="39" t="s">
        <v>37</v>
      </c>
      <c r="B13" s="200">
        <f>SUM(B14)</f>
        <v>4545</v>
      </c>
      <c r="C13" s="49">
        <f>SUM(C14)</f>
        <v>0</v>
      </c>
      <c r="D13" s="103">
        <f t="shared" si="0"/>
        <v>0</v>
      </c>
    </row>
    <row r="14" spans="1:6" ht="25.5" customHeight="1">
      <c r="A14" s="40" t="s">
        <v>244</v>
      </c>
      <c r="B14" s="200">
        <v>4545</v>
      </c>
      <c r="C14" s="49"/>
      <c r="D14" s="103"/>
    </row>
    <row r="15" spans="1:6" ht="25.5" customHeight="1">
      <c r="A15" s="38" t="s">
        <v>7</v>
      </c>
      <c r="B15" s="200">
        <f>SUM(B13,B12)</f>
        <v>1100603</v>
      </c>
      <c r="C15" s="49">
        <f>SUM(C13,C12)</f>
        <v>1210975</v>
      </c>
      <c r="D15" s="103">
        <f t="shared" si="0"/>
        <v>90.89</v>
      </c>
    </row>
    <row r="16" spans="1:6" ht="17.45" customHeight="1"/>
    <row r="17" ht="17.45" customHeight="1"/>
    <row r="18" ht="17.45" customHeight="1"/>
    <row r="19" ht="17.45" customHeight="1"/>
    <row r="20" ht="17.45" customHeight="1"/>
    <row r="21" ht="17.45" customHeight="1"/>
  </sheetData>
  <mergeCells count="1">
    <mergeCell ref="A2:D2"/>
  </mergeCells>
  <phoneticPr fontId="37" type="noConversion"/>
  <pageMargins left="0.70866141732283472" right="0.70866141732283472" top="0.74803149606299213" bottom="0.74803149606299213" header="0.31496062992125984" footer="0.31496062992125984"/>
  <pageSetup paperSize="9" scale="98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showZeros="0" zoomScaleNormal="100" workbookViewId="0">
      <selection activeCell="K16" sqref="K16"/>
    </sheetView>
  </sheetViews>
  <sheetFormatPr defaultRowHeight="14.25"/>
  <cols>
    <col min="1" max="1" width="34.5" style="110" customWidth="1"/>
    <col min="2" max="3" width="14" style="110" customWidth="1"/>
    <col min="4" max="4" width="19.125" style="110" customWidth="1"/>
    <col min="5" max="16384" width="9" style="110"/>
  </cols>
  <sheetData>
    <row r="1" spans="1:6">
      <c r="A1" s="110" t="s">
        <v>292</v>
      </c>
    </row>
    <row r="2" spans="1:6" ht="23.25" customHeight="1">
      <c r="A2" s="272" t="s">
        <v>723</v>
      </c>
      <c r="B2" s="272"/>
      <c r="C2" s="272"/>
      <c r="D2" s="272"/>
    </row>
    <row r="3" spans="1:6" ht="18" customHeight="1">
      <c r="A3" s="153"/>
      <c r="B3" s="154"/>
      <c r="C3" s="154"/>
      <c r="D3" s="155" t="s">
        <v>36</v>
      </c>
    </row>
    <row r="4" spans="1:6" ht="45.6" customHeight="1">
      <c r="A4" s="67" t="s">
        <v>65</v>
      </c>
      <c r="B4" s="67" t="s">
        <v>112</v>
      </c>
      <c r="C4" s="56" t="s">
        <v>320</v>
      </c>
      <c r="D4" s="56" t="s">
        <v>335</v>
      </c>
    </row>
    <row r="5" spans="1:6" ht="24.75" customHeight="1">
      <c r="A5" s="88" t="s">
        <v>724</v>
      </c>
      <c r="B5" s="37">
        <v>1523</v>
      </c>
      <c r="C5" s="37"/>
      <c r="D5" s="216"/>
    </row>
    <row r="6" spans="1:6" ht="24.75" customHeight="1">
      <c r="A6" s="88" t="s">
        <v>336</v>
      </c>
      <c r="B6" s="201">
        <v>665125</v>
      </c>
      <c r="C6" s="37">
        <v>752684</v>
      </c>
      <c r="D6" s="105">
        <f t="shared" ref="D6:D16" si="0">IF(C6=0,0,B6*100/C6)</f>
        <v>88.37</v>
      </c>
    </row>
    <row r="7" spans="1:6" ht="24.75" customHeight="1">
      <c r="A7" s="88" t="s">
        <v>337</v>
      </c>
      <c r="B7" s="201">
        <v>655</v>
      </c>
      <c r="C7" s="37"/>
      <c r="D7" s="105">
        <f t="shared" si="0"/>
        <v>0</v>
      </c>
      <c r="F7" s="26"/>
    </row>
    <row r="8" spans="1:6" ht="24.75" customHeight="1">
      <c r="A8" s="88" t="s">
        <v>338</v>
      </c>
      <c r="B8" s="201"/>
      <c r="C8" s="37"/>
      <c r="D8" s="105">
        <f t="shared" si="0"/>
        <v>0</v>
      </c>
    </row>
    <row r="9" spans="1:6" ht="24.75" customHeight="1">
      <c r="A9" s="88" t="s">
        <v>339</v>
      </c>
      <c r="B9" s="201">
        <v>6283</v>
      </c>
      <c r="C9" s="37">
        <v>3524</v>
      </c>
      <c r="D9" s="105">
        <f t="shared" si="0"/>
        <v>178.29</v>
      </c>
    </row>
    <row r="10" spans="1:6" ht="24.75" customHeight="1">
      <c r="A10" s="88" t="s">
        <v>340</v>
      </c>
      <c r="B10" s="201">
        <v>70940</v>
      </c>
      <c r="C10" s="37">
        <v>40880</v>
      </c>
      <c r="D10" s="105">
        <f t="shared" si="0"/>
        <v>173.53</v>
      </c>
    </row>
    <row r="11" spans="1:6" ht="24.75" customHeight="1">
      <c r="A11" s="88" t="s">
        <v>341</v>
      </c>
      <c r="B11" s="201">
        <v>405</v>
      </c>
      <c r="C11" s="37">
        <v>366</v>
      </c>
      <c r="D11" s="105">
        <f t="shared" si="0"/>
        <v>110.66</v>
      </c>
    </row>
    <row r="12" spans="1:6" ht="24.75" customHeight="1">
      <c r="A12" s="38" t="s">
        <v>273</v>
      </c>
      <c r="B12" s="201">
        <f>SUM(B5:B11)</f>
        <v>744931</v>
      </c>
      <c r="C12" s="37">
        <f>SUM(C5:C11)</f>
        <v>797454</v>
      </c>
      <c r="D12" s="105">
        <f t="shared" si="0"/>
        <v>93.41</v>
      </c>
    </row>
    <row r="13" spans="1:6" ht="24.75" customHeight="1">
      <c r="A13" s="39" t="s">
        <v>9</v>
      </c>
      <c r="B13" s="201">
        <f>SUM(B14:B15)</f>
        <v>355672</v>
      </c>
      <c r="C13" s="37">
        <f>SUM(C14:C15)</f>
        <v>415451</v>
      </c>
      <c r="D13" s="105">
        <f t="shared" si="0"/>
        <v>85.61</v>
      </c>
    </row>
    <row r="14" spans="1:6" ht="24.75" customHeight="1">
      <c r="A14" s="48" t="s">
        <v>117</v>
      </c>
      <c r="B14" s="201">
        <v>654</v>
      </c>
      <c r="C14" s="37">
        <v>90</v>
      </c>
      <c r="D14" s="105">
        <f t="shared" si="0"/>
        <v>726.67</v>
      </c>
    </row>
    <row r="15" spans="1:6" ht="24.75" customHeight="1">
      <c r="A15" s="48" t="s">
        <v>114</v>
      </c>
      <c r="B15" s="201">
        <v>355018</v>
      </c>
      <c r="C15" s="37">
        <v>415361</v>
      </c>
      <c r="D15" s="105">
        <f t="shared" si="0"/>
        <v>85.47</v>
      </c>
    </row>
    <row r="16" spans="1:6" ht="24.75" customHeight="1">
      <c r="A16" s="38" t="s">
        <v>8</v>
      </c>
      <c r="B16" s="201">
        <f>B13+B12</f>
        <v>1100603</v>
      </c>
      <c r="C16" s="37">
        <f>C13+C12</f>
        <v>1212905</v>
      </c>
      <c r="D16" s="105">
        <f t="shared" si="0"/>
        <v>90.74</v>
      </c>
    </row>
  </sheetData>
  <mergeCells count="1">
    <mergeCell ref="A2:D2"/>
  </mergeCells>
  <phoneticPr fontId="37" type="noConversion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4"/>
  <sheetViews>
    <sheetView zoomScaleNormal="100" workbookViewId="0">
      <selection activeCell="G11" sqref="G11"/>
    </sheetView>
  </sheetViews>
  <sheetFormatPr defaultRowHeight="14.25"/>
  <cols>
    <col min="1" max="1" width="41.625" bestFit="1" customWidth="1"/>
    <col min="2" max="2" width="14.625" customWidth="1"/>
    <col min="3" max="3" width="11.5" customWidth="1"/>
    <col min="4" max="4" width="15.625" customWidth="1"/>
  </cols>
  <sheetData>
    <row r="1" spans="1:6" ht="22.15" customHeight="1">
      <c r="A1" s="9" t="s">
        <v>291</v>
      </c>
    </row>
    <row r="2" spans="1:6" ht="27" customHeight="1">
      <c r="A2" s="273" t="s">
        <v>725</v>
      </c>
      <c r="B2" s="273"/>
      <c r="C2" s="273"/>
      <c r="D2" s="273"/>
    </row>
    <row r="3" spans="1:6">
      <c r="A3" s="19"/>
      <c r="B3" s="20"/>
      <c r="C3" s="20"/>
      <c r="D3" s="21" t="s">
        <v>36</v>
      </c>
    </row>
    <row r="4" spans="1:6" ht="46.15" customHeight="1">
      <c r="A4" s="38" t="s">
        <v>65</v>
      </c>
      <c r="B4" s="55" t="s">
        <v>18</v>
      </c>
      <c r="C4" s="72" t="s">
        <v>320</v>
      </c>
      <c r="D4" s="72" t="s">
        <v>335</v>
      </c>
    </row>
    <row r="5" spans="1:6" ht="23.25" customHeight="1">
      <c r="A5" s="66" t="s">
        <v>323</v>
      </c>
      <c r="B5" s="37">
        <v>10500</v>
      </c>
      <c r="C5" s="37">
        <v>14200</v>
      </c>
      <c r="D5" s="78">
        <f t="shared" ref="D5:D14" si="0">IF(C5=0,0,B5*100/C5)</f>
        <v>73.94</v>
      </c>
      <c r="F5" s="26"/>
    </row>
    <row r="6" spans="1:6" ht="23.25" customHeight="1">
      <c r="A6" s="66" t="s">
        <v>324</v>
      </c>
      <c r="B6" s="37">
        <v>300</v>
      </c>
      <c r="C6" s="37">
        <v>300</v>
      </c>
      <c r="D6" s="78">
        <f t="shared" si="0"/>
        <v>100</v>
      </c>
    </row>
    <row r="7" spans="1:6" ht="23.25" customHeight="1">
      <c r="A7" s="86" t="s">
        <v>325</v>
      </c>
      <c r="B7" s="89">
        <v>197880</v>
      </c>
      <c r="C7" s="89">
        <v>267900</v>
      </c>
      <c r="D7" s="78">
        <f t="shared" si="0"/>
        <v>73.86</v>
      </c>
    </row>
    <row r="8" spans="1:6" ht="23.25" customHeight="1">
      <c r="A8" s="86" t="s">
        <v>326</v>
      </c>
      <c r="B8" s="89">
        <v>1500</v>
      </c>
      <c r="C8" s="89">
        <v>1400</v>
      </c>
      <c r="D8" s="78">
        <f t="shared" si="0"/>
        <v>107.14</v>
      </c>
    </row>
    <row r="9" spans="1:6" ht="23.25" customHeight="1">
      <c r="A9" s="86" t="s">
        <v>327</v>
      </c>
      <c r="B9" s="89">
        <v>2500</v>
      </c>
      <c r="C9" s="89">
        <v>5000</v>
      </c>
      <c r="D9" s="78">
        <f t="shared" si="0"/>
        <v>50</v>
      </c>
    </row>
    <row r="10" spans="1:6" ht="23.25" customHeight="1">
      <c r="A10" s="66" t="s">
        <v>328</v>
      </c>
      <c r="B10" s="37">
        <v>3800</v>
      </c>
      <c r="C10" s="37">
        <v>3600</v>
      </c>
      <c r="D10" s="78">
        <f t="shared" si="0"/>
        <v>105.56</v>
      </c>
    </row>
    <row r="11" spans="1:6" ht="23.25" customHeight="1">
      <c r="A11" s="38" t="s">
        <v>272</v>
      </c>
      <c r="B11" s="37">
        <f>SUM(B5:B10)</f>
        <v>216480</v>
      </c>
      <c r="C11" s="37">
        <f>SUM(C5:C10)</f>
        <v>292400</v>
      </c>
      <c r="D11" s="78">
        <f t="shared" si="0"/>
        <v>74.040000000000006</v>
      </c>
    </row>
    <row r="12" spans="1:6" ht="23.25" customHeight="1">
      <c r="A12" s="39" t="s">
        <v>37</v>
      </c>
      <c r="B12" s="37">
        <f>SUM(B13)</f>
        <v>2278</v>
      </c>
      <c r="C12" s="37">
        <f>SUM(C13)</f>
        <v>978</v>
      </c>
      <c r="D12" s="78">
        <f t="shared" si="0"/>
        <v>232.92</v>
      </c>
    </row>
    <row r="13" spans="1:6" ht="23.25" customHeight="1">
      <c r="A13" s="40" t="s">
        <v>244</v>
      </c>
      <c r="B13" s="37">
        <v>2278</v>
      </c>
      <c r="C13" s="37">
        <v>978</v>
      </c>
      <c r="D13" s="78">
        <f t="shared" si="0"/>
        <v>232.92</v>
      </c>
    </row>
    <row r="14" spans="1:6" ht="23.25" customHeight="1">
      <c r="A14" s="38" t="s">
        <v>7</v>
      </c>
      <c r="B14" s="37">
        <f>B12+B11</f>
        <v>218758</v>
      </c>
      <c r="C14" s="37">
        <f>C12+C11</f>
        <v>293378</v>
      </c>
      <c r="D14" s="78">
        <f t="shared" si="0"/>
        <v>74.569999999999993</v>
      </c>
    </row>
    <row r="15" spans="1:6" ht="17.45" customHeight="1"/>
    <row r="16" spans="1:6" ht="17.45" customHeight="1"/>
    <row r="17" ht="17.45" customHeight="1"/>
    <row r="18" ht="17.45" customHeight="1"/>
    <row r="19" ht="17.45" customHeight="1"/>
    <row r="20" ht="17.45" customHeight="1"/>
    <row r="21" ht="17.45" customHeight="1"/>
    <row r="22" ht="17.45" customHeight="1"/>
    <row r="23" ht="17.45" customHeight="1"/>
    <row r="24" ht="17.45" customHeight="1"/>
  </sheetData>
  <mergeCells count="1">
    <mergeCell ref="A2:D2"/>
  </mergeCells>
  <phoneticPr fontId="87" type="noConversion"/>
  <pageMargins left="0.70866141732283472" right="0.70866141732283472" top="0.74803149606299213" bottom="0.74803149606299213" header="0.31496062992125984" footer="0.31496062992125984"/>
  <pageSetup paperSize="9" scale="98" fitToHeight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30"/>
  <sheetViews>
    <sheetView showZeros="0" zoomScaleNormal="100" workbookViewId="0">
      <selection activeCell="H9" sqref="H9"/>
    </sheetView>
  </sheetViews>
  <sheetFormatPr defaultRowHeight="14.25"/>
  <cols>
    <col min="1" max="1" width="17.5" style="110" customWidth="1"/>
    <col min="2" max="2" width="36.25" style="110" customWidth="1"/>
    <col min="3" max="4" width="12.75" style="110" customWidth="1"/>
    <col min="5" max="5" width="15" style="110" customWidth="1"/>
    <col min="6" max="16384" width="9" style="110"/>
  </cols>
  <sheetData>
    <row r="1" spans="1:5" ht="19.149999999999999" customHeight="1">
      <c r="A1" s="110" t="s">
        <v>290</v>
      </c>
    </row>
    <row r="2" spans="1:5" ht="23.45" customHeight="1">
      <c r="A2" s="272" t="s">
        <v>726</v>
      </c>
      <c r="B2" s="272"/>
      <c r="C2" s="272"/>
      <c r="D2" s="272"/>
      <c r="E2" s="272"/>
    </row>
    <row r="3" spans="1:5" ht="17.45" customHeight="1">
      <c r="A3" s="153"/>
      <c r="B3" s="153"/>
      <c r="C3" s="154"/>
      <c r="D3" s="154"/>
      <c r="E3" s="142" t="s">
        <v>36</v>
      </c>
    </row>
    <row r="4" spans="1:5" ht="40.5" customHeight="1">
      <c r="A4" s="278" t="s">
        <v>65</v>
      </c>
      <c r="B4" s="279"/>
      <c r="C4" s="280" t="s">
        <v>112</v>
      </c>
      <c r="D4" s="282" t="s">
        <v>320</v>
      </c>
      <c r="E4" s="282" t="s">
        <v>335</v>
      </c>
    </row>
    <row r="5" spans="1:5" ht="19.149999999999999" customHeight="1">
      <c r="A5" s="38" t="s">
        <v>342</v>
      </c>
      <c r="B5" s="38" t="s">
        <v>343</v>
      </c>
      <c r="C5" s="281"/>
      <c r="D5" s="259"/>
      <c r="E5" s="259"/>
    </row>
    <row r="6" spans="1:5" ht="19.149999999999999" customHeight="1">
      <c r="A6" s="161" t="s">
        <v>603</v>
      </c>
      <c r="B6" s="156"/>
      <c r="C6" s="157">
        <f>SUM(C7:C14)</f>
        <v>163274</v>
      </c>
      <c r="D6" s="157">
        <f>SUM(D7:D14)</f>
        <v>215727</v>
      </c>
      <c r="E6" s="105">
        <f t="shared" ref="E6:E30" si="0">IF(D6=0,0,C6*100/D6)</f>
        <v>75.69</v>
      </c>
    </row>
    <row r="7" spans="1:5" ht="19.149999999999999" customHeight="1">
      <c r="A7" s="156">
        <v>21211</v>
      </c>
      <c r="B7" s="156" t="s">
        <v>344</v>
      </c>
      <c r="C7" s="157">
        <v>210</v>
      </c>
      <c r="D7" s="157">
        <v>210</v>
      </c>
      <c r="E7" s="105">
        <f t="shared" si="0"/>
        <v>100</v>
      </c>
    </row>
    <row r="8" spans="1:5" ht="19.149999999999999" customHeight="1">
      <c r="A8" s="202">
        <v>2120803</v>
      </c>
      <c r="B8" s="202" t="s">
        <v>639</v>
      </c>
      <c r="C8" s="203">
        <v>18187</v>
      </c>
      <c r="D8" s="203">
        <v>14287</v>
      </c>
      <c r="E8" s="129"/>
    </row>
    <row r="9" spans="1:5" ht="19.149999999999999" customHeight="1">
      <c r="A9" s="90">
        <v>2120806</v>
      </c>
      <c r="B9" s="89" t="s">
        <v>345</v>
      </c>
      <c r="C9" s="91"/>
      <c r="D9" s="91">
        <v>126.5</v>
      </c>
      <c r="E9" s="105">
        <f t="shared" si="0"/>
        <v>0</v>
      </c>
    </row>
    <row r="10" spans="1:5" ht="19.149999999999999" customHeight="1">
      <c r="A10" s="204">
        <v>2120807</v>
      </c>
      <c r="B10" s="89" t="s">
        <v>640</v>
      </c>
      <c r="C10" s="205">
        <v>1878</v>
      </c>
      <c r="D10" s="205">
        <v>2810</v>
      </c>
      <c r="E10" s="129"/>
    </row>
    <row r="11" spans="1:5" ht="19.149999999999999" customHeight="1">
      <c r="A11" s="204">
        <v>2120810</v>
      </c>
      <c r="B11" s="89" t="s">
        <v>727</v>
      </c>
      <c r="C11" s="205">
        <v>36500</v>
      </c>
      <c r="D11" s="205"/>
      <c r="E11" s="129"/>
    </row>
    <row r="12" spans="1:5" ht="19.149999999999999" customHeight="1">
      <c r="A12" s="156">
        <v>2120899</v>
      </c>
      <c r="B12" s="158" t="s">
        <v>346</v>
      </c>
      <c r="C12" s="91">
        <v>100213</v>
      </c>
      <c r="D12" s="91">
        <v>189893.5</v>
      </c>
      <c r="E12" s="105">
        <f t="shared" si="0"/>
        <v>52.77</v>
      </c>
    </row>
    <row r="13" spans="1:5" ht="19.149999999999999" customHeight="1">
      <c r="A13" s="90">
        <v>2121399</v>
      </c>
      <c r="B13" s="89" t="s">
        <v>347</v>
      </c>
      <c r="C13" s="91">
        <v>2486</v>
      </c>
      <c r="D13" s="91">
        <v>4980</v>
      </c>
      <c r="E13" s="105">
        <f t="shared" si="0"/>
        <v>49.92</v>
      </c>
    </row>
    <row r="14" spans="1:5" ht="19.149999999999999" customHeight="1">
      <c r="A14" s="156">
        <v>2121401</v>
      </c>
      <c r="B14" s="158" t="s">
        <v>348</v>
      </c>
      <c r="C14" s="91">
        <v>3800</v>
      </c>
      <c r="D14" s="91">
        <v>3420</v>
      </c>
      <c r="E14" s="105">
        <f t="shared" si="0"/>
        <v>111.11</v>
      </c>
    </row>
    <row r="15" spans="1:5" ht="19.149999999999999" customHeight="1">
      <c r="A15" s="159" t="s">
        <v>357</v>
      </c>
      <c r="B15" s="114"/>
      <c r="C15" s="91">
        <f>SUM(C16:C19)</f>
        <v>655</v>
      </c>
      <c r="D15" s="91">
        <f>SUM(D16:D19)</f>
        <v>0</v>
      </c>
      <c r="E15" s="105">
        <f t="shared" si="0"/>
        <v>0</v>
      </c>
    </row>
    <row r="16" spans="1:5" ht="19.149999999999999" customHeight="1">
      <c r="A16" s="90">
        <v>2146302</v>
      </c>
      <c r="B16" s="89" t="s">
        <v>349</v>
      </c>
      <c r="C16" s="91"/>
      <c r="D16" s="91"/>
      <c r="E16" s="105">
        <f t="shared" si="0"/>
        <v>0</v>
      </c>
    </row>
    <row r="17" spans="1:5" ht="19.149999999999999" customHeight="1">
      <c r="A17" s="156">
        <v>2146901</v>
      </c>
      <c r="B17" s="158" t="s">
        <v>350</v>
      </c>
      <c r="C17" s="91"/>
      <c r="D17" s="91"/>
      <c r="E17" s="105">
        <f t="shared" si="0"/>
        <v>0</v>
      </c>
    </row>
    <row r="18" spans="1:5" ht="19.149999999999999" customHeight="1">
      <c r="A18" s="90">
        <v>2146904</v>
      </c>
      <c r="B18" s="89" t="s">
        <v>351</v>
      </c>
      <c r="C18" s="91">
        <v>655</v>
      </c>
      <c r="D18" s="91"/>
      <c r="E18" s="105">
        <f t="shared" si="0"/>
        <v>0</v>
      </c>
    </row>
    <row r="19" spans="1:5" ht="19.149999999999999" customHeight="1">
      <c r="A19" s="156">
        <v>2146999</v>
      </c>
      <c r="B19" s="158" t="s">
        <v>352</v>
      </c>
      <c r="C19" s="91"/>
      <c r="D19" s="91"/>
      <c r="E19" s="105">
        <f t="shared" si="0"/>
        <v>0</v>
      </c>
    </row>
    <row r="20" spans="1:5" ht="19.149999999999999" customHeight="1">
      <c r="A20" s="159" t="s">
        <v>358</v>
      </c>
      <c r="B20" s="114"/>
      <c r="C20" s="91">
        <f>SUM(C21:C25)</f>
        <v>2767</v>
      </c>
      <c r="D20" s="91">
        <f>SUM(D21:D25)</f>
        <v>2333</v>
      </c>
      <c r="E20" s="105">
        <f t="shared" si="0"/>
        <v>118.6</v>
      </c>
    </row>
    <row r="21" spans="1:5" ht="19.149999999999999" customHeight="1">
      <c r="A21" s="90">
        <v>2290808</v>
      </c>
      <c r="B21" s="89" t="s">
        <v>728</v>
      </c>
      <c r="C21" s="205">
        <v>160</v>
      </c>
      <c r="D21" s="205"/>
      <c r="E21" s="129"/>
    </row>
    <row r="22" spans="1:5" ht="19.149999999999999" customHeight="1">
      <c r="A22" s="90">
        <v>2296002</v>
      </c>
      <c r="B22" s="89" t="s">
        <v>353</v>
      </c>
      <c r="C22" s="91">
        <v>869</v>
      </c>
      <c r="D22" s="91">
        <v>1478</v>
      </c>
      <c r="E22" s="105">
        <f t="shared" si="0"/>
        <v>58.8</v>
      </c>
    </row>
    <row r="23" spans="1:5" ht="19.149999999999999" customHeight="1">
      <c r="A23" s="156">
        <v>2296003</v>
      </c>
      <c r="B23" s="158" t="s">
        <v>354</v>
      </c>
      <c r="C23" s="91">
        <v>1117</v>
      </c>
      <c r="D23" s="91">
        <v>855</v>
      </c>
      <c r="E23" s="105">
        <f t="shared" si="0"/>
        <v>130.63999999999999</v>
      </c>
    </row>
    <row r="24" spans="1:5" ht="19.149999999999999" customHeight="1">
      <c r="A24" s="90">
        <v>2296006</v>
      </c>
      <c r="B24" s="89" t="s">
        <v>355</v>
      </c>
      <c r="C24" s="91">
        <v>621</v>
      </c>
      <c r="D24" s="91"/>
      <c r="E24" s="105">
        <f t="shared" si="0"/>
        <v>0</v>
      </c>
    </row>
    <row r="25" spans="1:5" ht="19.149999999999999" customHeight="1">
      <c r="A25" s="156">
        <v>2296013</v>
      </c>
      <c r="B25" s="158" t="s">
        <v>356</v>
      </c>
      <c r="C25" s="91"/>
      <c r="D25" s="91"/>
      <c r="E25" s="105">
        <f t="shared" si="0"/>
        <v>0</v>
      </c>
    </row>
    <row r="26" spans="1:5" ht="19.149999999999999" customHeight="1">
      <c r="A26" s="274" t="s">
        <v>273</v>
      </c>
      <c r="B26" s="275"/>
      <c r="C26" s="91">
        <f>C20+C15+C6</f>
        <v>166696</v>
      </c>
      <c r="D26" s="91">
        <f>D20+D15+D6</f>
        <v>218060</v>
      </c>
      <c r="E26" s="105">
        <f t="shared" si="0"/>
        <v>76.45</v>
      </c>
    </row>
    <row r="27" spans="1:5" ht="19.149999999999999" customHeight="1">
      <c r="A27" s="274" t="s">
        <v>9</v>
      </c>
      <c r="B27" s="275"/>
      <c r="C27" s="37">
        <f>SUM(C28:C29)</f>
        <v>52062</v>
      </c>
      <c r="D27" s="37">
        <f>SUM(D28:D29)</f>
        <v>75318</v>
      </c>
      <c r="E27" s="105">
        <f t="shared" si="0"/>
        <v>69.12</v>
      </c>
    </row>
    <row r="28" spans="1:5" ht="19.149999999999999" customHeight="1">
      <c r="A28" s="276" t="s">
        <v>116</v>
      </c>
      <c r="B28" s="277"/>
      <c r="C28" s="37">
        <v>654</v>
      </c>
      <c r="D28" s="37">
        <v>90</v>
      </c>
      <c r="E28" s="105">
        <f t="shared" si="0"/>
        <v>726.67</v>
      </c>
    </row>
    <row r="29" spans="1:5" ht="19.149999999999999" customHeight="1">
      <c r="A29" s="276" t="s">
        <v>113</v>
      </c>
      <c r="B29" s="277"/>
      <c r="C29" s="37">
        <v>51408</v>
      </c>
      <c r="D29" s="37">
        <v>75228</v>
      </c>
      <c r="E29" s="105">
        <f t="shared" si="0"/>
        <v>68.34</v>
      </c>
    </row>
    <row r="30" spans="1:5" ht="19.149999999999999" customHeight="1">
      <c r="A30" s="274" t="s">
        <v>8</v>
      </c>
      <c r="B30" s="275"/>
      <c r="C30" s="160">
        <f>C27+C26</f>
        <v>218758</v>
      </c>
      <c r="D30" s="160">
        <f>D27+D26</f>
        <v>293378</v>
      </c>
      <c r="E30" s="105">
        <f t="shared" si="0"/>
        <v>74.569999999999993</v>
      </c>
    </row>
  </sheetData>
  <mergeCells count="10">
    <mergeCell ref="A2:E2"/>
    <mergeCell ref="A4:B4"/>
    <mergeCell ref="C4:C5"/>
    <mergeCell ref="D4:D5"/>
    <mergeCell ref="E4:E5"/>
    <mergeCell ref="A27:B27"/>
    <mergeCell ref="A28:B28"/>
    <mergeCell ref="A29:B29"/>
    <mergeCell ref="A30:B30"/>
    <mergeCell ref="A26:B26"/>
  </mergeCells>
  <phoneticPr fontId="37" type="noConversion"/>
  <pageMargins left="0.70866141732283472" right="0.70866141732283472" top="0.74803149606299213" bottom="0.74803149606299213" header="0.31496062992125984" footer="0.31496062992125984"/>
  <pageSetup paperSize="9" scale="86" fitToHeight="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Views>
    <sheetView workbookViewId="0">
      <selection activeCell="O13" sqref="O12:O13"/>
    </sheetView>
  </sheetViews>
  <sheetFormatPr defaultRowHeight="14.25"/>
  <cols>
    <col min="1" max="1" width="22.125" customWidth="1"/>
    <col min="2" max="13" width="7.5" customWidth="1"/>
  </cols>
  <sheetData>
    <row r="1" spans="1:13" ht="18.600000000000001" customHeight="1">
      <c r="A1" s="9" t="s">
        <v>289</v>
      </c>
    </row>
    <row r="2" spans="1:13" ht="26.25" customHeight="1">
      <c r="A2" s="273" t="s">
        <v>729</v>
      </c>
      <c r="B2" s="273"/>
      <c r="C2" s="273"/>
      <c r="D2" s="273"/>
      <c r="E2" s="273"/>
      <c r="F2" s="273"/>
      <c r="G2" s="273"/>
      <c r="H2" s="273"/>
      <c r="I2" s="273"/>
      <c r="J2" s="273"/>
      <c r="K2" s="273"/>
      <c r="L2" s="273"/>
      <c r="M2" s="273"/>
    </row>
    <row r="3" spans="1:13" ht="18" customHeight="1">
      <c r="A3" s="16"/>
      <c r="B3" s="16"/>
      <c r="C3" s="16"/>
      <c r="D3" s="16"/>
      <c r="E3" s="16"/>
      <c r="F3" s="16"/>
      <c r="M3" s="21" t="s">
        <v>36</v>
      </c>
    </row>
    <row r="4" spans="1:13" ht="23.45" customHeight="1">
      <c r="A4" s="60" t="s">
        <v>30</v>
      </c>
      <c r="B4" s="38" t="s">
        <v>49</v>
      </c>
      <c r="C4" s="38" t="s">
        <v>359</v>
      </c>
      <c r="D4" s="38" t="s">
        <v>360</v>
      </c>
      <c r="E4" s="38" t="s">
        <v>361</v>
      </c>
      <c r="F4" s="38" t="s">
        <v>362</v>
      </c>
      <c r="G4" s="38" t="s">
        <v>363</v>
      </c>
      <c r="H4" s="61" t="s">
        <v>364</v>
      </c>
      <c r="I4" s="38" t="s">
        <v>365</v>
      </c>
      <c r="J4" s="38" t="s">
        <v>730</v>
      </c>
      <c r="K4" s="38" t="s">
        <v>366</v>
      </c>
      <c r="L4" s="38" t="s">
        <v>367</v>
      </c>
      <c r="M4" s="38" t="s">
        <v>368</v>
      </c>
    </row>
    <row r="5" spans="1:13" ht="25.35" customHeight="1">
      <c r="A5" s="37" t="s">
        <v>38</v>
      </c>
      <c r="B5" s="37"/>
      <c r="C5" s="37"/>
      <c r="D5" s="37"/>
      <c r="E5" s="37"/>
      <c r="F5" s="37"/>
      <c r="G5" s="37"/>
      <c r="H5" s="50"/>
      <c r="I5" s="37"/>
      <c r="J5" s="37"/>
      <c r="K5" s="37"/>
      <c r="L5" s="37"/>
      <c r="M5" s="37"/>
    </row>
    <row r="6" spans="1:13" ht="25.35" customHeight="1">
      <c r="A6" s="37" t="s">
        <v>39</v>
      </c>
      <c r="B6" s="37"/>
      <c r="C6" s="37"/>
      <c r="D6" s="37"/>
      <c r="E6" s="37"/>
      <c r="F6" s="37"/>
      <c r="G6" s="37"/>
      <c r="H6" s="50"/>
      <c r="I6" s="37"/>
      <c r="J6" s="37"/>
      <c r="K6" s="37"/>
      <c r="L6" s="37"/>
      <c r="M6" s="37"/>
    </row>
    <row r="7" spans="1:13" ht="25.35" customHeight="1">
      <c r="A7" s="37" t="s">
        <v>40</v>
      </c>
      <c r="B7" s="37"/>
      <c r="C7" s="37"/>
      <c r="D7" s="37"/>
      <c r="E7" s="37"/>
      <c r="F7" s="37"/>
      <c r="G7" s="37"/>
      <c r="H7" s="50"/>
      <c r="I7" s="37"/>
      <c r="J7" s="37"/>
      <c r="K7" s="37"/>
      <c r="L7" s="37"/>
      <c r="M7" s="37"/>
    </row>
    <row r="8" spans="1:13" ht="25.35" customHeight="1">
      <c r="A8" s="37" t="s">
        <v>41</v>
      </c>
      <c r="B8" s="37"/>
      <c r="C8" s="37"/>
      <c r="D8" s="37"/>
      <c r="E8" s="37"/>
      <c r="F8" s="37"/>
      <c r="G8" s="37"/>
      <c r="H8" s="50"/>
      <c r="I8" s="37"/>
      <c r="J8" s="37"/>
      <c r="K8" s="37"/>
      <c r="L8" s="37"/>
      <c r="M8" s="37"/>
    </row>
    <row r="9" spans="1:13" ht="25.35" customHeight="1">
      <c r="A9" s="37" t="s">
        <v>42</v>
      </c>
      <c r="B9" s="37"/>
      <c r="C9" s="37"/>
      <c r="D9" s="37"/>
      <c r="E9" s="28"/>
      <c r="F9" s="37"/>
      <c r="G9" s="37"/>
      <c r="H9" s="50"/>
      <c r="I9" s="37"/>
      <c r="J9" s="37"/>
      <c r="K9" s="37"/>
      <c r="L9" s="37"/>
      <c r="M9" s="37"/>
    </row>
    <row r="10" spans="1:13" ht="25.35" customHeight="1">
      <c r="A10" s="37" t="s">
        <v>43</v>
      </c>
      <c r="B10" s="37"/>
      <c r="C10" s="37"/>
      <c r="D10" s="37"/>
      <c r="E10" s="37"/>
      <c r="F10" s="37"/>
      <c r="G10" s="37"/>
      <c r="H10" s="50"/>
      <c r="I10" s="37"/>
      <c r="J10" s="37"/>
      <c r="K10" s="37"/>
      <c r="L10" s="37"/>
      <c r="M10" s="37"/>
    </row>
    <row r="11" spans="1:13" ht="25.35" customHeight="1">
      <c r="A11" s="37" t="s">
        <v>44</v>
      </c>
      <c r="B11" s="37"/>
      <c r="C11" s="37"/>
      <c r="D11" s="37"/>
      <c r="E11" s="37"/>
      <c r="F11" s="37"/>
      <c r="G11" s="37"/>
      <c r="H11" s="50"/>
      <c r="I11" s="37"/>
      <c r="J11" s="37"/>
      <c r="K11" s="37"/>
      <c r="L11" s="37"/>
      <c r="M11" s="37"/>
    </row>
    <row r="12" spans="1:13" ht="25.35" customHeight="1">
      <c r="A12" s="37" t="s">
        <v>45</v>
      </c>
      <c r="B12" s="37"/>
      <c r="C12" s="37"/>
      <c r="D12" s="37"/>
      <c r="E12" s="37"/>
      <c r="F12" s="37"/>
      <c r="G12" s="37"/>
      <c r="H12" s="50"/>
      <c r="I12" s="37"/>
      <c r="J12" s="37"/>
      <c r="K12" s="37"/>
      <c r="L12" s="37"/>
      <c r="M12" s="37"/>
    </row>
    <row r="13" spans="1:13" ht="25.35" customHeight="1">
      <c r="A13" s="37" t="s">
        <v>46</v>
      </c>
      <c r="B13" s="37"/>
      <c r="C13" s="37"/>
      <c r="D13" s="37"/>
      <c r="E13" s="37"/>
      <c r="F13" s="37"/>
      <c r="G13" s="37"/>
      <c r="H13" s="50"/>
      <c r="I13" s="37"/>
      <c r="J13" s="37"/>
      <c r="K13" s="37"/>
      <c r="L13" s="37"/>
      <c r="M13" s="37"/>
    </row>
    <row r="14" spans="1:13" ht="25.35" customHeight="1">
      <c r="A14" s="37" t="s">
        <v>47</v>
      </c>
      <c r="B14" s="37"/>
      <c r="C14" s="37"/>
      <c r="D14" s="37"/>
      <c r="E14" s="37"/>
      <c r="F14" s="37"/>
      <c r="G14" s="37"/>
      <c r="H14" s="50"/>
      <c r="I14" s="37"/>
      <c r="J14" s="37"/>
      <c r="K14" s="37"/>
      <c r="L14" s="37"/>
      <c r="M14" s="37"/>
    </row>
    <row r="15" spans="1:13" ht="25.35" customHeight="1">
      <c r="A15" s="37" t="s">
        <v>48</v>
      </c>
      <c r="B15" s="37"/>
      <c r="C15" s="37"/>
      <c r="D15" s="37"/>
      <c r="E15" s="37"/>
      <c r="F15" s="37"/>
      <c r="G15" s="37"/>
      <c r="H15" s="50"/>
      <c r="I15" s="37"/>
      <c r="J15" s="37"/>
      <c r="K15" s="37"/>
      <c r="L15" s="37"/>
      <c r="M15" s="37"/>
    </row>
    <row r="16" spans="1:13" s="62" customFormat="1" ht="25.35" customHeight="1">
      <c r="A16" s="38" t="s">
        <v>245</v>
      </c>
      <c r="B16" s="39"/>
      <c r="C16" s="39"/>
      <c r="D16" s="39"/>
      <c r="E16" s="39"/>
      <c r="F16" s="39"/>
      <c r="G16" s="39"/>
      <c r="H16" s="63"/>
      <c r="I16" s="37"/>
      <c r="J16" s="37"/>
      <c r="K16" s="37"/>
      <c r="L16" s="37"/>
      <c r="M16" s="37"/>
    </row>
    <row r="17" spans="1:8" ht="29.25" customHeight="1">
      <c r="A17" s="283" t="s">
        <v>731</v>
      </c>
      <c r="B17" s="283"/>
      <c r="C17" s="283"/>
      <c r="D17" s="283"/>
      <c r="E17" s="283"/>
      <c r="F17" s="283"/>
      <c r="G17" s="283"/>
      <c r="H17" s="283"/>
    </row>
  </sheetData>
  <mergeCells count="2">
    <mergeCell ref="A17:H17"/>
    <mergeCell ref="A2:M2"/>
  </mergeCells>
  <phoneticPr fontId="37" type="noConversion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3"/>
  <sheetViews>
    <sheetView showZeros="0" workbookViewId="0">
      <selection activeCell="G11" sqref="G11"/>
    </sheetView>
  </sheetViews>
  <sheetFormatPr defaultRowHeight="14.25"/>
  <cols>
    <col min="1" max="1" width="39" customWidth="1"/>
    <col min="2" max="3" width="11.5" customWidth="1"/>
    <col min="4" max="4" width="17.25" customWidth="1"/>
  </cols>
  <sheetData>
    <row r="1" spans="1:4" ht="18.600000000000001" customHeight="1">
      <c r="A1" s="9" t="s">
        <v>288</v>
      </c>
    </row>
    <row r="2" spans="1:4" ht="27" customHeight="1">
      <c r="A2" s="273" t="s">
        <v>743</v>
      </c>
      <c r="B2" s="273"/>
      <c r="C2" s="273"/>
      <c r="D2" s="273"/>
    </row>
    <row r="3" spans="1:4" ht="19.5" customHeight="1">
      <c r="A3" s="17"/>
      <c r="B3" s="18"/>
      <c r="C3" s="18"/>
      <c r="D3" s="71" t="s">
        <v>36</v>
      </c>
    </row>
    <row r="4" spans="1:4" ht="45.75" customHeight="1">
      <c r="A4" s="67" t="s">
        <v>30</v>
      </c>
      <c r="B4" s="67" t="s">
        <v>112</v>
      </c>
      <c r="C4" s="56" t="s">
        <v>320</v>
      </c>
      <c r="D4" s="56" t="s">
        <v>335</v>
      </c>
    </row>
    <row r="5" spans="1:4" ht="30.6" customHeight="1">
      <c r="A5" s="37" t="s">
        <v>50</v>
      </c>
      <c r="B5" s="37">
        <v>16604</v>
      </c>
      <c r="C5" s="37">
        <v>22926</v>
      </c>
      <c r="D5" s="105">
        <f t="shared" ref="D5:D13" si="0">IF(C5=0,0,B5*100/C5)</f>
        <v>72.42</v>
      </c>
    </row>
    <row r="6" spans="1:4" ht="30.6" customHeight="1">
      <c r="A6" s="37" t="s">
        <v>51</v>
      </c>
      <c r="B6" s="37">
        <v>1179</v>
      </c>
      <c r="C6" s="37">
        <v>885</v>
      </c>
      <c r="D6" s="105">
        <f t="shared" si="0"/>
        <v>133.22</v>
      </c>
    </row>
    <row r="7" spans="1:4" ht="30.6" customHeight="1">
      <c r="A7" s="37" t="s">
        <v>52</v>
      </c>
      <c r="B7" s="37">
        <v>44000</v>
      </c>
      <c r="C7" s="37"/>
      <c r="D7" s="105">
        <f t="shared" si="0"/>
        <v>0</v>
      </c>
    </row>
    <row r="8" spans="1:4" ht="30.6" customHeight="1">
      <c r="A8" s="37" t="s">
        <v>53</v>
      </c>
      <c r="B8" s="37"/>
      <c r="C8" s="37"/>
      <c r="D8" s="105">
        <f t="shared" si="0"/>
        <v>0</v>
      </c>
    </row>
    <row r="9" spans="1:4" ht="30.6" customHeight="1">
      <c r="A9" s="37" t="s">
        <v>137</v>
      </c>
      <c r="B9" s="37">
        <v>22031</v>
      </c>
      <c r="C9" s="37">
        <v>1090</v>
      </c>
      <c r="D9" s="105">
        <f t="shared" si="0"/>
        <v>2021.19</v>
      </c>
    </row>
    <row r="10" spans="1:4" ht="30.6" customHeight="1">
      <c r="A10" s="38" t="s">
        <v>272</v>
      </c>
      <c r="B10" s="37">
        <f>SUM(B5:B9)</f>
        <v>83814</v>
      </c>
      <c r="C10" s="37">
        <f>SUM(C5:C9)</f>
        <v>24901</v>
      </c>
      <c r="D10" s="105">
        <f t="shared" si="0"/>
        <v>336.59</v>
      </c>
    </row>
    <row r="11" spans="1:4" ht="30.6" customHeight="1">
      <c r="A11" s="45" t="s">
        <v>136</v>
      </c>
      <c r="B11" s="45"/>
      <c r="C11" s="45">
        <v>280</v>
      </c>
      <c r="D11" s="105">
        <f t="shared" si="0"/>
        <v>0</v>
      </c>
    </row>
    <row r="12" spans="1:4" ht="30.6" customHeight="1">
      <c r="A12" s="162" t="s">
        <v>110</v>
      </c>
      <c r="B12" s="45">
        <v>27</v>
      </c>
      <c r="C12" s="45">
        <v>1498</v>
      </c>
      <c r="D12" s="105">
        <f t="shared" si="0"/>
        <v>1.8</v>
      </c>
    </row>
    <row r="13" spans="1:4" ht="30.6" customHeight="1">
      <c r="A13" s="61" t="s">
        <v>246</v>
      </c>
      <c r="B13" s="45">
        <f>SUM(B10:B12)</f>
        <v>83841</v>
      </c>
      <c r="C13" s="45">
        <f>SUM(C10:C12)</f>
        <v>26679</v>
      </c>
      <c r="D13" s="105">
        <f t="shared" si="0"/>
        <v>314.26</v>
      </c>
    </row>
  </sheetData>
  <mergeCells count="1">
    <mergeCell ref="A2:D2"/>
  </mergeCells>
  <phoneticPr fontId="37" type="noConversion"/>
  <pageMargins left="0.70866141732283472" right="0.70866141732283472" top="0.74803149606299213" bottom="0.74803149606299213" header="0.31496062992125984" footer="0.31496062992125984"/>
  <pageSetup paperSize="9" fitToHeight="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showZeros="0" workbookViewId="0">
      <selection activeCell="F9" sqref="F9"/>
    </sheetView>
  </sheetViews>
  <sheetFormatPr defaultRowHeight="14.25"/>
  <cols>
    <col min="1" max="1" width="33.875" bestFit="1" customWidth="1"/>
    <col min="2" max="2" width="12.625" customWidth="1"/>
    <col min="3" max="3" width="14.25" customWidth="1"/>
    <col min="4" max="4" width="15.75" customWidth="1"/>
  </cols>
  <sheetData>
    <row r="1" spans="1:4" ht="23.45" customHeight="1">
      <c r="A1" s="9" t="s">
        <v>287</v>
      </c>
    </row>
    <row r="2" spans="1:4" ht="30" customHeight="1">
      <c r="A2" s="273" t="s">
        <v>744</v>
      </c>
      <c r="B2" s="273"/>
      <c r="C2" s="273"/>
      <c r="D2" s="273"/>
    </row>
    <row r="3" spans="1:4" ht="23.25" customHeight="1">
      <c r="A3" s="19"/>
      <c r="B3" s="20"/>
      <c r="C3" s="20"/>
      <c r="D3" s="59" t="s">
        <v>36</v>
      </c>
    </row>
    <row r="4" spans="1:4" ht="50.45" customHeight="1">
      <c r="A4" s="67" t="s">
        <v>30</v>
      </c>
      <c r="B4" s="67" t="s">
        <v>112</v>
      </c>
      <c r="C4" s="85" t="s">
        <v>320</v>
      </c>
      <c r="D4" s="85" t="s">
        <v>335</v>
      </c>
    </row>
    <row r="5" spans="1:4" ht="31.15" customHeight="1">
      <c r="A5" s="37" t="s">
        <v>54</v>
      </c>
      <c r="B5" s="37">
        <v>536</v>
      </c>
      <c r="C5" s="37">
        <v>904</v>
      </c>
      <c r="D5" s="78">
        <f t="shared" ref="D5:D13" si="0">IF(C5=0,0,B5*100/C5)</f>
        <v>59.29</v>
      </c>
    </row>
    <row r="6" spans="1:4" ht="31.15" customHeight="1">
      <c r="A6" s="37" t="s">
        <v>55</v>
      </c>
      <c r="B6" s="37">
        <v>7984</v>
      </c>
      <c r="C6" s="37">
        <v>13423</v>
      </c>
      <c r="D6" s="78">
        <f t="shared" si="0"/>
        <v>59.48</v>
      </c>
    </row>
    <row r="7" spans="1:4" ht="31.15" customHeight="1">
      <c r="A7" s="37" t="s">
        <v>56</v>
      </c>
      <c r="B7" s="37"/>
      <c r="C7" s="37"/>
      <c r="D7" s="78">
        <f t="shared" si="0"/>
        <v>0</v>
      </c>
    </row>
    <row r="8" spans="1:4" ht="31.15" customHeight="1">
      <c r="A8" s="37" t="s">
        <v>57</v>
      </c>
      <c r="B8" s="37"/>
      <c r="C8" s="37"/>
      <c r="D8" s="78">
        <f t="shared" si="0"/>
        <v>0</v>
      </c>
    </row>
    <row r="9" spans="1:4" ht="31.15" customHeight="1">
      <c r="A9" s="37" t="s">
        <v>97</v>
      </c>
      <c r="B9" s="37">
        <v>1427</v>
      </c>
      <c r="C9" s="37">
        <v>4710</v>
      </c>
      <c r="D9" s="78">
        <f t="shared" si="0"/>
        <v>30.3</v>
      </c>
    </row>
    <row r="10" spans="1:4" ht="31.15" customHeight="1">
      <c r="A10" s="38" t="s">
        <v>273</v>
      </c>
      <c r="B10" s="37">
        <f>SUM(B5:B9)</f>
        <v>9947</v>
      </c>
      <c r="C10" s="37">
        <f>SUM(C5:C9)</f>
        <v>19037</v>
      </c>
      <c r="D10" s="78">
        <f t="shared" si="0"/>
        <v>52.25</v>
      </c>
    </row>
    <row r="11" spans="1:4" ht="31.15" customHeight="1">
      <c r="A11" s="37" t="s">
        <v>106</v>
      </c>
      <c r="B11" s="37"/>
      <c r="C11" s="37"/>
      <c r="D11" s="78">
        <f t="shared" si="0"/>
        <v>0</v>
      </c>
    </row>
    <row r="12" spans="1:4" ht="31.15" customHeight="1">
      <c r="A12" s="37" t="s">
        <v>58</v>
      </c>
      <c r="B12" s="37">
        <v>73894</v>
      </c>
      <c r="C12" s="37">
        <v>7642</v>
      </c>
      <c r="D12" s="78">
        <f t="shared" si="0"/>
        <v>966.95</v>
      </c>
    </row>
    <row r="13" spans="1:4" ht="31.15" customHeight="1">
      <c r="A13" s="38" t="s">
        <v>240</v>
      </c>
      <c r="B13" s="37">
        <f>SUM(B10:B12)</f>
        <v>83841</v>
      </c>
      <c r="C13" s="37">
        <f>SUM(C10:C12)</f>
        <v>26679</v>
      </c>
      <c r="D13" s="78">
        <f t="shared" si="0"/>
        <v>314.26</v>
      </c>
    </row>
  </sheetData>
  <mergeCells count="1">
    <mergeCell ref="A2:D2"/>
  </mergeCells>
  <phoneticPr fontId="37" type="noConversion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3"/>
  <sheetViews>
    <sheetView showZeros="0" workbookViewId="0">
      <selection activeCell="G11" sqref="G11"/>
    </sheetView>
  </sheetViews>
  <sheetFormatPr defaultRowHeight="14.25"/>
  <cols>
    <col min="1" max="1" width="38.5" style="110" customWidth="1"/>
    <col min="2" max="2" width="13" style="110" customWidth="1"/>
    <col min="3" max="3" width="14.75" style="110" customWidth="1"/>
    <col min="4" max="4" width="18" style="110" customWidth="1"/>
    <col min="5" max="16384" width="9" style="110"/>
  </cols>
  <sheetData>
    <row r="1" spans="1:4">
      <c r="A1" s="110" t="s">
        <v>286</v>
      </c>
    </row>
    <row r="2" spans="1:4" ht="38.25" customHeight="1">
      <c r="A2" s="272" t="s">
        <v>745</v>
      </c>
      <c r="B2" s="272"/>
      <c r="C2" s="272"/>
      <c r="D2" s="272"/>
    </row>
    <row r="3" spans="1:4" ht="24.6" customHeight="1">
      <c r="A3" s="153"/>
      <c r="B3" s="154"/>
      <c r="C3" s="154"/>
      <c r="D3" s="155" t="s">
        <v>36</v>
      </c>
    </row>
    <row r="4" spans="1:4" ht="44.25" customHeight="1">
      <c r="A4" s="67" t="s">
        <v>30</v>
      </c>
      <c r="B4" s="67" t="s">
        <v>112</v>
      </c>
      <c r="C4" s="56" t="s">
        <v>369</v>
      </c>
      <c r="D4" s="56" t="s">
        <v>370</v>
      </c>
    </row>
    <row r="5" spans="1:4" ht="23.45" customHeight="1">
      <c r="A5" s="37" t="s">
        <v>50</v>
      </c>
      <c r="B5" s="37">
        <v>10574</v>
      </c>
      <c r="C5" s="37">
        <v>18238</v>
      </c>
      <c r="D5" s="105">
        <f t="shared" ref="D5:D13" si="0">IF(C5=0,0,B5*100/C5)</f>
        <v>57.98</v>
      </c>
    </row>
    <row r="6" spans="1:4" ht="23.45" customHeight="1">
      <c r="A6" s="37" t="s">
        <v>51</v>
      </c>
      <c r="B6" s="37">
        <v>734</v>
      </c>
      <c r="C6" s="37">
        <v>730</v>
      </c>
      <c r="D6" s="105">
        <f t="shared" si="0"/>
        <v>100.55</v>
      </c>
    </row>
    <row r="7" spans="1:4" ht="23.45" customHeight="1">
      <c r="A7" s="37" t="s">
        <v>52</v>
      </c>
      <c r="B7" s="37"/>
      <c r="C7" s="37"/>
      <c r="D7" s="105">
        <f t="shared" si="0"/>
        <v>0</v>
      </c>
    </row>
    <row r="8" spans="1:4" ht="23.45" customHeight="1">
      <c r="A8" s="37" t="s">
        <v>53</v>
      </c>
      <c r="B8" s="37"/>
      <c r="C8" s="37"/>
      <c r="D8" s="105">
        <f t="shared" si="0"/>
        <v>0</v>
      </c>
    </row>
    <row r="9" spans="1:4" ht="23.45" customHeight="1">
      <c r="A9" s="37" t="s">
        <v>107</v>
      </c>
      <c r="B9" s="37">
        <v>22031</v>
      </c>
      <c r="C9" s="37"/>
      <c r="D9" s="105">
        <f t="shared" si="0"/>
        <v>0</v>
      </c>
    </row>
    <row r="10" spans="1:4" ht="23.45" customHeight="1">
      <c r="A10" s="38" t="s">
        <v>272</v>
      </c>
      <c r="B10" s="37">
        <f>SUM(B5:B9)</f>
        <v>33339</v>
      </c>
      <c r="C10" s="37">
        <f>SUM(C5:C9)</f>
        <v>18968</v>
      </c>
      <c r="D10" s="105">
        <f t="shared" si="0"/>
        <v>175.76</v>
      </c>
    </row>
    <row r="11" spans="1:4" ht="23.45" customHeight="1">
      <c r="A11" s="37" t="s">
        <v>109</v>
      </c>
      <c r="B11" s="37"/>
      <c r="C11" s="37">
        <v>280</v>
      </c>
      <c r="D11" s="105">
        <f t="shared" si="0"/>
        <v>0</v>
      </c>
    </row>
    <row r="12" spans="1:4" ht="23.45" customHeight="1">
      <c r="A12" s="74" t="s">
        <v>111</v>
      </c>
      <c r="B12" s="37"/>
      <c r="C12" s="37">
        <v>1464</v>
      </c>
      <c r="D12" s="105">
        <f t="shared" si="0"/>
        <v>0</v>
      </c>
    </row>
    <row r="13" spans="1:4" ht="23.45" customHeight="1">
      <c r="A13" s="38" t="s">
        <v>247</v>
      </c>
      <c r="B13" s="37">
        <f>SUM(B10:B12)</f>
        <v>33339</v>
      </c>
      <c r="C13" s="37">
        <f>SUM(C10:C12)</f>
        <v>20712</v>
      </c>
      <c r="D13" s="105">
        <f t="shared" si="0"/>
        <v>160.96</v>
      </c>
    </row>
  </sheetData>
  <mergeCells count="1">
    <mergeCell ref="A2:D2"/>
  </mergeCells>
  <phoneticPr fontId="37" type="noConversion"/>
  <pageMargins left="0.70866141732283472" right="0.70866141732283472" top="0.74803149606299213" bottom="0.74803149606299213" header="0.31496062992125984" footer="0.31496062992125984"/>
  <pageSetup paperSize="9" scale="97" fitToHeight="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4"/>
  <sheetViews>
    <sheetView showZeros="0" zoomScaleNormal="100" workbookViewId="0">
      <selection activeCell="E11" sqref="E11"/>
    </sheetView>
  </sheetViews>
  <sheetFormatPr defaultRowHeight="14.25"/>
  <cols>
    <col min="1" max="1" width="43.375" customWidth="1"/>
    <col min="2" max="2" width="11.625" customWidth="1"/>
    <col min="3" max="3" width="14.5" customWidth="1"/>
    <col min="4" max="4" width="18.25" customWidth="1"/>
    <col min="5" max="5" width="25.5" customWidth="1"/>
  </cols>
  <sheetData>
    <row r="1" spans="1:4">
      <c r="A1" s="9" t="s">
        <v>285</v>
      </c>
    </row>
    <row r="2" spans="1:4" ht="26.45" customHeight="1">
      <c r="A2" s="273" t="s">
        <v>746</v>
      </c>
      <c r="B2" s="273"/>
      <c r="C2" s="273"/>
      <c r="D2" s="273"/>
    </row>
    <row r="3" spans="1:4" ht="18.75" customHeight="1">
      <c r="A3" s="19"/>
      <c r="B3" s="20"/>
      <c r="C3" s="20"/>
      <c r="D3" s="59" t="s">
        <v>36</v>
      </c>
    </row>
    <row r="4" spans="1:4" ht="44.25" customHeight="1">
      <c r="A4" s="67" t="s">
        <v>30</v>
      </c>
      <c r="B4" s="67" t="s">
        <v>112</v>
      </c>
      <c r="C4" s="56" t="s">
        <v>369</v>
      </c>
      <c r="D4" s="56" t="s">
        <v>370</v>
      </c>
    </row>
    <row r="5" spans="1:4" ht="18.600000000000001" customHeight="1">
      <c r="A5" s="44" t="s">
        <v>93</v>
      </c>
      <c r="B5" s="37">
        <f>SUM(B6:B14)</f>
        <v>17</v>
      </c>
      <c r="C5" s="37">
        <f>SUM(C6:C14)</f>
        <v>17</v>
      </c>
      <c r="D5" s="105">
        <f t="shared" ref="D5:D34" si="0">IF(C5=0,0,B5*100/C5)</f>
        <v>100</v>
      </c>
    </row>
    <row r="6" spans="1:4" ht="18.600000000000001" customHeight="1">
      <c r="A6" s="44" t="s">
        <v>101</v>
      </c>
      <c r="B6" s="37"/>
      <c r="C6" s="89"/>
      <c r="D6" s="105">
        <f t="shared" si="0"/>
        <v>0</v>
      </c>
    </row>
    <row r="7" spans="1:4" ht="18.600000000000001" customHeight="1">
      <c r="A7" s="46" t="s">
        <v>100</v>
      </c>
      <c r="B7" s="37"/>
      <c r="C7" s="89"/>
      <c r="D7" s="105">
        <f t="shared" si="0"/>
        <v>0</v>
      </c>
    </row>
    <row r="8" spans="1:4" ht="18.600000000000001" customHeight="1">
      <c r="A8" s="46" t="s">
        <v>99</v>
      </c>
      <c r="B8" s="37"/>
      <c r="C8" s="89"/>
      <c r="D8" s="105">
        <f t="shared" si="0"/>
        <v>0</v>
      </c>
    </row>
    <row r="9" spans="1:4" ht="18.600000000000001" customHeight="1">
      <c r="A9" s="46" t="s">
        <v>98</v>
      </c>
      <c r="B9" s="37"/>
      <c r="C9" s="89"/>
      <c r="D9" s="105">
        <f t="shared" si="0"/>
        <v>0</v>
      </c>
    </row>
    <row r="10" spans="1:4" ht="18.600000000000001" customHeight="1">
      <c r="A10" s="46" t="s">
        <v>81</v>
      </c>
      <c r="B10" s="37"/>
      <c r="C10" s="89"/>
      <c r="D10" s="105">
        <f t="shared" si="0"/>
        <v>0</v>
      </c>
    </row>
    <row r="11" spans="1:4" ht="18.600000000000001" customHeight="1">
      <c r="A11" s="46" t="s">
        <v>82</v>
      </c>
      <c r="B11" s="37"/>
      <c r="C11" s="89"/>
      <c r="D11" s="105">
        <f t="shared" si="0"/>
        <v>0</v>
      </c>
    </row>
    <row r="12" spans="1:4" ht="18.600000000000001" customHeight="1">
      <c r="A12" s="46" t="s">
        <v>83</v>
      </c>
      <c r="B12" s="37"/>
      <c r="C12" s="89"/>
      <c r="D12" s="105">
        <f t="shared" si="0"/>
        <v>0</v>
      </c>
    </row>
    <row r="13" spans="1:4" ht="18.600000000000001" customHeight="1">
      <c r="A13" s="46" t="s">
        <v>84</v>
      </c>
      <c r="B13" s="37"/>
      <c r="C13" s="89"/>
      <c r="D13" s="105">
        <f t="shared" si="0"/>
        <v>0</v>
      </c>
    </row>
    <row r="14" spans="1:4" ht="18.600000000000001" customHeight="1">
      <c r="A14" s="46" t="s">
        <v>85</v>
      </c>
      <c r="B14" s="37">
        <v>17</v>
      </c>
      <c r="C14" s="89">
        <v>17</v>
      </c>
      <c r="D14" s="105">
        <f t="shared" si="0"/>
        <v>100</v>
      </c>
    </row>
    <row r="15" spans="1:4" ht="18.600000000000001" customHeight="1">
      <c r="A15" s="44" t="s">
        <v>94</v>
      </c>
      <c r="B15" s="45">
        <f>SUM(B16:B23)</f>
        <v>7384</v>
      </c>
      <c r="C15" s="45">
        <f>SUM(C16:C23)</f>
        <v>12823</v>
      </c>
      <c r="D15" s="105">
        <f t="shared" si="0"/>
        <v>57.58</v>
      </c>
    </row>
    <row r="16" spans="1:4" ht="18.600000000000001" customHeight="1">
      <c r="A16" s="47" t="s">
        <v>102</v>
      </c>
      <c r="B16" s="45"/>
      <c r="C16" s="92"/>
      <c r="D16" s="105">
        <f t="shared" si="0"/>
        <v>0</v>
      </c>
    </row>
    <row r="17" spans="1:4" ht="18.600000000000001" customHeight="1">
      <c r="A17" s="46" t="s">
        <v>86</v>
      </c>
      <c r="B17" s="45"/>
      <c r="C17" s="92"/>
      <c r="D17" s="105">
        <f t="shared" si="0"/>
        <v>0</v>
      </c>
    </row>
    <row r="18" spans="1:4" ht="18.600000000000001" customHeight="1">
      <c r="A18" s="46" t="s">
        <v>87</v>
      </c>
      <c r="B18" s="45"/>
      <c r="C18" s="92"/>
      <c r="D18" s="105">
        <f t="shared" si="0"/>
        <v>0</v>
      </c>
    </row>
    <row r="19" spans="1:4" ht="18.600000000000001" customHeight="1">
      <c r="A19" s="46" t="s">
        <v>88</v>
      </c>
      <c r="B19" s="45"/>
      <c r="C19" s="92"/>
      <c r="D19" s="105">
        <f t="shared" si="0"/>
        <v>0</v>
      </c>
    </row>
    <row r="20" spans="1:4" ht="18.600000000000001" customHeight="1">
      <c r="A20" s="46" t="s">
        <v>89</v>
      </c>
      <c r="B20" s="45"/>
      <c r="C20" s="92"/>
      <c r="D20" s="105">
        <f t="shared" si="0"/>
        <v>0</v>
      </c>
    </row>
    <row r="21" spans="1:4" ht="18.600000000000001" customHeight="1">
      <c r="A21" s="46" t="s">
        <v>90</v>
      </c>
      <c r="B21" s="45"/>
      <c r="C21" s="92"/>
      <c r="D21" s="105">
        <f t="shared" si="0"/>
        <v>0</v>
      </c>
    </row>
    <row r="22" spans="1:4" ht="18.600000000000001" customHeight="1">
      <c r="A22" s="46" t="s">
        <v>91</v>
      </c>
      <c r="B22" s="45"/>
      <c r="C22" s="92"/>
      <c r="D22" s="105">
        <f t="shared" si="0"/>
        <v>0</v>
      </c>
    </row>
    <row r="23" spans="1:4" ht="18.600000000000001" customHeight="1">
      <c r="A23" s="46" t="s">
        <v>92</v>
      </c>
      <c r="B23" s="45">
        <v>7384</v>
      </c>
      <c r="C23" s="92">
        <v>12823</v>
      </c>
      <c r="D23" s="105">
        <f t="shared" si="0"/>
        <v>57.58</v>
      </c>
    </row>
    <row r="24" spans="1:4" ht="18.600000000000001" customHeight="1">
      <c r="A24" s="44" t="s">
        <v>95</v>
      </c>
      <c r="B24" s="45">
        <f>SUM(B25)</f>
        <v>0</v>
      </c>
      <c r="C24" s="92"/>
      <c r="D24" s="105">
        <f t="shared" si="0"/>
        <v>0</v>
      </c>
    </row>
    <row r="25" spans="1:4" ht="18.600000000000001" customHeight="1">
      <c r="A25" s="44" t="s">
        <v>103</v>
      </c>
      <c r="B25" s="45"/>
      <c r="C25" s="92"/>
      <c r="D25" s="105">
        <f t="shared" si="0"/>
        <v>0</v>
      </c>
    </row>
    <row r="26" spans="1:4" ht="18.600000000000001" customHeight="1">
      <c r="A26" s="44" t="s">
        <v>96</v>
      </c>
      <c r="B26" s="45">
        <f>SUM(B27:B29)</f>
        <v>0</v>
      </c>
      <c r="C26" s="45">
        <f>SUM(C27:C29)</f>
        <v>0</v>
      </c>
      <c r="D26" s="105">
        <f t="shared" si="0"/>
        <v>0</v>
      </c>
    </row>
    <row r="27" spans="1:4" ht="18.600000000000001" customHeight="1">
      <c r="A27" s="44" t="s">
        <v>104</v>
      </c>
      <c r="B27" s="45"/>
      <c r="C27" s="92"/>
      <c r="D27" s="105">
        <f t="shared" si="0"/>
        <v>0</v>
      </c>
    </row>
    <row r="28" spans="1:4" ht="18.600000000000001" customHeight="1">
      <c r="A28" s="44" t="s">
        <v>105</v>
      </c>
      <c r="B28" s="45"/>
      <c r="C28" s="92"/>
      <c r="D28" s="105">
        <f t="shared" si="0"/>
        <v>0</v>
      </c>
    </row>
    <row r="29" spans="1:4" ht="18.600000000000001" customHeight="1">
      <c r="A29" s="44" t="s">
        <v>248</v>
      </c>
      <c r="B29" s="45"/>
      <c r="C29" s="92"/>
      <c r="D29" s="105">
        <f t="shared" si="0"/>
        <v>0</v>
      </c>
    </row>
    <row r="30" spans="1:4" ht="18.600000000000001" customHeight="1">
      <c r="A30" s="44" t="s">
        <v>97</v>
      </c>
      <c r="B30" s="45">
        <v>734</v>
      </c>
      <c r="C30" s="92">
        <v>1856</v>
      </c>
      <c r="D30" s="105">
        <f t="shared" si="0"/>
        <v>39.549999999999997</v>
      </c>
    </row>
    <row r="31" spans="1:4" ht="18.600000000000001" customHeight="1">
      <c r="A31" s="38" t="s">
        <v>249</v>
      </c>
      <c r="B31" s="45">
        <f>B30+B26+B24+B15+B5</f>
        <v>8135</v>
      </c>
      <c r="C31" s="45">
        <f>C30+C26+C24+C15+C5</f>
        <v>14696</v>
      </c>
      <c r="D31" s="105">
        <f t="shared" si="0"/>
        <v>55.36</v>
      </c>
    </row>
    <row r="32" spans="1:4" ht="18.600000000000001" customHeight="1">
      <c r="A32" s="40" t="s">
        <v>108</v>
      </c>
      <c r="B32" s="45"/>
      <c r="C32" s="92">
        <v>544</v>
      </c>
      <c r="D32" s="105">
        <f t="shared" si="0"/>
        <v>0</v>
      </c>
    </row>
    <row r="33" spans="1:4" ht="18.600000000000001" customHeight="1">
      <c r="A33" s="37" t="s">
        <v>58</v>
      </c>
      <c r="B33" s="45">
        <v>25204</v>
      </c>
      <c r="C33" s="92">
        <v>5472</v>
      </c>
      <c r="D33" s="105">
        <f t="shared" si="0"/>
        <v>460.6</v>
      </c>
    </row>
    <row r="34" spans="1:4" ht="18.600000000000001" customHeight="1">
      <c r="A34" s="38" t="s">
        <v>274</v>
      </c>
      <c r="B34" s="45">
        <f>SUM(B31:B33)</f>
        <v>33339</v>
      </c>
      <c r="C34" s="45">
        <f>SUM(C31:C33)</f>
        <v>20712</v>
      </c>
      <c r="D34" s="105">
        <f t="shared" si="0"/>
        <v>160.96</v>
      </c>
    </row>
  </sheetData>
  <mergeCells count="1">
    <mergeCell ref="A2:D2"/>
  </mergeCells>
  <phoneticPr fontId="37" type="noConversion"/>
  <pageMargins left="0.70866141732283472" right="0.70866141732283472" top="0.74803149606299213" bottom="0.74803149606299213" header="0.31496062992125984" footer="0.31496062992125984"/>
  <pageSetup paperSize="9" scale="93" fitToHeight="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1"/>
  <sheetViews>
    <sheetView showZeros="0" zoomScaleNormal="100" workbookViewId="0">
      <selection activeCell="H8" sqref="H8"/>
    </sheetView>
  </sheetViews>
  <sheetFormatPr defaultColWidth="8.125" defaultRowHeight="14.25"/>
  <cols>
    <col min="1" max="1" width="35.125" style="14" customWidth="1"/>
    <col min="2" max="2" width="16.5" style="14" customWidth="1"/>
    <col min="3" max="3" width="16.375" style="14" customWidth="1"/>
    <col min="4" max="4" width="17.875" style="10" customWidth="1"/>
    <col min="5" max="5" width="10.5" style="14" customWidth="1"/>
    <col min="6" max="6" width="9.125" style="14" customWidth="1"/>
    <col min="7" max="13" width="8.125" style="14"/>
    <col min="14" max="14" width="11.5" style="14" bestFit="1" customWidth="1"/>
    <col min="15" max="16384" width="8.125" style="14"/>
  </cols>
  <sheetData>
    <row r="1" spans="1:6" ht="18.75" customHeight="1">
      <c r="A1" s="14" t="s">
        <v>284</v>
      </c>
    </row>
    <row r="2" spans="1:6" ht="36.75" customHeight="1">
      <c r="A2" s="284" t="s">
        <v>747</v>
      </c>
      <c r="B2" s="284"/>
      <c r="C2" s="284"/>
      <c r="D2" s="284"/>
    </row>
    <row r="3" spans="1:6" ht="24" customHeight="1">
      <c r="A3" s="13"/>
      <c r="B3" s="12"/>
      <c r="D3" s="15" t="s">
        <v>36</v>
      </c>
    </row>
    <row r="4" spans="1:6" s="11" customFormat="1" ht="44.25" customHeight="1">
      <c r="A4" s="163" t="s">
        <v>30</v>
      </c>
      <c r="B4" s="164" t="s">
        <v>112</v>
      </c>
      <c r="C4" s="56" t="s">
        <v>369</v>
      </c>
      <c r="D4" s="56" t="s">
        <v>370</v>
      </c>
    </row>
    <row r="5" spans="1:6" ht="36" customHeight="1">
      <c r="A5" s="165" t="s">
        <v>641</v>
      </c>
      <c r="B5" s="167"/>
      <c r="C5" s="167">
        <v>11487</v>
      </c>
      <c r="D5" s="105">
        <f>IF(C5=0,0,B5*100/C5)</f>
        <v>0</v>
      </c>
    </row>
    <row r="6" spans="1:6" ht="36" customHeight="1">
      <c r="A6" s="165" t="s">
        <v>642</v>
      </c>
      <c r="B6" s="167">
        <v>226689</v>
      </c>
      <c r="C6" s="167">
        <v>209352</v>
      </c>
      <c r="D6" s="105">
        <f t="shared" ref="D6:D10" si="0">IF(C6=0,0,B6*100/C6)</f>
        <v>108.28</v>
      </c>
    </row>
    <row r="7" spans="1:6" ht="36" customHeight="1">
      <c r="A7" s="165" t="s">
        <v>643</v>
      </c>
      <c r="B7" s="167">
        <v>46495</v>
      </c>
      <c r="C7" s="167">
        <v>17264</v>
      </c>
      <c r="D7" s="105">
        <f>IF(C7=0,0,B7*100/C7)</f>
        <v>269.32</v>
      </c>
    </row>
    <row r="8" spans="1:6" ht="36" customHeight="1">
      <c r="A8" s="165" t="s">
        <v>645</v>
      </c>
      <c r="B8" s="167">
        <v>211446</v>
      </c>
      <c r="C8" s="167">
        <v>203314</v>
      </c>
      <c r="D8" s="105">
        <f t="shared" si="0"/>
        <v>104</v>
      </c>
      <c r="F8" s="27"/>
    </row>
    <row r="9" spans="1:6" ht="36" customHeight="1">
      <c r="A9" s="165" t="s">
        <v>649</v>
      </c>
      <c r="B9" s="166">
        <v>72914</v>
      </c>
      <c r="C9" s="167">
        <v>62597</v>
      </c>
      <c r="D9" s="105">
        <f>IF(C9=0,0,B9*100/C9)</f>
        <v>116.48</v>
      </c>
    </row>
    <row r="10" spans="1:6" ht="36" customHeight="1">
      <c r="A10" s="168" t="s">
        <v>62</v>
      </c>
      <c r="B10" s="169">
        <f>SUM(B5:B9)</f>
        <v>557544</v>
      </c>
      <c r="C10" s="169">
        <f>SUM(C5:C9)</f>
        <v>504014</v>
      </c>
      <c r="D10" s="105">
        <f t="shared" si="0"/>
        <v>110.62</v>
      </c>
    </row>
    <row r="11" spans="1:6">
      <c r="A11" s="25"/>
      <c r="B11" s="25"/>
      <c r="C11" s="25"/>
      <c r="D11" s="41"/>
    </row>
  </sheetData>
  <mergeCells count="1">
    <mergeCell ref="A2:D2"/>
  </mergeCells>
  <phoneticPr fontId="37" type="noConversion"/>
  <conditionalFormatting sqref="D5:D10">
    <cfRule type="cellIs" dxfId="6" priority="2" stopIfTrue="1" operator="less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95" fitToHeight="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0"/>
  <sheetViews>
    <sheetView showZeros="0" zoomScaleNormal="100" workbookViewId="0">
      <selection activeCell="L12" sqref="L12"/>
    </sheetView>
  </sheetViews>
  <sheetFormatPr defaultColWidth="8.125" defaultRowHeight="14.25"/>
  <cols>
    <col min="1" max="1" width="37.125" style="14" customWidth="1"/>
    <col min="2" max="3" width="14.625" style="14" customWidth="1"/>
    <col min="4" max="4" width="16.125" style="10" customWidth="1"/>
    <col min="5" max="5" width="10.5" style="14" customWidth="1"/>
    <col min="6" max="6" width="9.125" style="14" customWidth="1"/>
    <col min="7" max="13" width="8.125" style="14"/>
    <col min="14" max="14" width="11.5" style="14" bestFit="1" customWidth="1"/>
    <col min="15" max="16384" width="8.125" style="14"/>
  </cols>
  <sheetData>
    <row r="1" spans="1:6" ht="19.899999999999999" customHeight="1">
      <c r="A1" s="14" t="s">
        <v>283</v>
      </c>
    </row>
    <row r="2" spans="1:6" ht="20.25">
      <c r="A2" s="284" t="s">
        <v>748</v>
      </c>
      <c r="B2" s="284"/>
      <c r="C2" s="284"/>
      <c r="D2" s="284"/>
    </row>
    <row r="3" spans="1:6">
      <c r="A3" s="13"/>
      <c r="B3" s="12"/>
      <c r="D3" s="15" t="s">
        <v>36</v>
      </c>
    </row>
    <row r="4" spans="1:6" s="11" customFormat="1" ht="45.75" customHeight="1">
      <c r="A4" s="163" t="s">
        <v>30</v>
      </c>
      <c r="B4" s="164" t="s">
        <v>112</v>
      </c>
      <c r="C4" s="56" t="s">
        <v>369</v>
      </c>
      <c r="D4" s="56" t="s">
        <v>370</v>
      </c>
    </row>
    <row r="5" spans="1:6" s="25" customFormat="1" ht="33" customHeight="1">
      <c r="A5" s="165" t="s">
        <v>646</v>
      </c>
      <c r="B5" s="171"/>
      <c r="C5" s="171">
        <v>14593</v>
      </c>
      <c r="D5" s="105">
        <f t="shared" ref="D5:D10" si="0">IF(C5=0,0,B5*100/C5)</f>
        <v>0</v>
      </c>
    </row>
    <row r="6" spans="1:6" s="25" customFormat="1" ht="33" customHeight="1">
      <c r="A6" s="165" t="s">
        <v>647</v>
      </c>
      <c r="B6" s="170">
        <v>215315</v>
      </c>
      <c r="C6" s="171">
        <v>200370</v>
      </c>
      <c r="D6" s="105">
        <f t="shared" si="0"/>
        <v>107.46</v>
      </c>
      <c r="F6" s="42"/>
    </row>
    <row r="7" spans="1:6" s="25" customFormat="1" ht="33" customHeight="1">
      <c r="A7" s="165" t="s">
        <v>648</v>
      </c>
      <c r="B7" s="173">
        <v>46495</v>
      </c>
      <c r="C7" s="173">
        <v>35294</v>
      </c>
      <c r="D7" s="105">
        <f>IF(C7=0,0,B7*100/C7)</f>
        <v>131.74</v>
      </c>
    </row>
    <row r="8" spans="1:6" s="43" customFormat="1" ht="33" customHeight="1">
      <c r="A8" s="165" t="s">
        <v>652</v>
      </c>
      <c r="B8" s="171">
        <v>211257</v>
      </c>
      <c r="C8" s="172">
        <v>221435</v>
      </c>
      <c r="D8" s="105">
        <f t="shared" si="0"/>
        <v>95.4</v>
      </c>
    </row>
    <row r="9" spans="1:6" s="25" customFormat="1" ht="33" customHeight="1">
      <c r="A9" s="165" t="s">
        <v>650</v>
      </c>
      <c r="B9" s="170">
        <v>75414</v>
      </c>
      <c r="C9" s="171">
        <v>64597</v>
      </c>
      <c r="D9" s="105">
        <f>IF(C9=0,0,B9*100/C9)</f>
        <v>116.75</v>
      </c>
    </row>
    <row r="10" spans="1:6" s="43" customFormat="1" ht="33" customHeight="1">
      <c r="A10" s="174" t="s">
        <v>32</v>
      </c>
      <c r="B10" s="173">
        <f>SUM(B5:B9)</f>
        <v>548481</v>
      </c>
      <c r="C10" s="173">
        <f>SUM(C5:C9)</f>
        <v>536289</v>
      </c>
      <c r="D10" s="105">
        <f t="shared" si="0"/>
        <v>102.27</v>
      </c>
    </row>
  </sheetData>
  <mergeCells count="1">
    <mergeCell ref="A2:D2"/>
  </mergeCells>
  <phoneticPr fontId="37" type="noConversion"/>
  <conditionalFormatting sqref="D5:D10">
    <cfRule type="cellIs" dxfId="5" priority="5" stopIfTrue="1" operator="less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99" fitToHeight="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6"/>
  <sheetViews>
    <sheetView showZeros="0" workbookViewId="0">
      <selection activeCell="J18" sqref="J18"/>
    </sheetView>
  </sheetViews>
  <sheetFormatPr defaultColWidth="9" defaultRowHeight="14.25"/>
  <cols>
    <col min="1" max="1" width="37.375" style="22" customWidth="1"/>
    <col min="2" max="2" width="14.125" style="23" customWidth="1"/>
    <col min="3" max="3" width="14.125" style="22" customWidth="1"/>
    <col min="4" max="4" width="18.5" style="22" customWidth="1"/>
    <col min="5" max="16384" width="9" style="22"/>
  </cols>
  <sheetData>
    <row r="1" spans="1:4" ht="19.350000000000001" customHeight="1">
      <c r="A1" s="22" t="s">
        <v>282</v>
      </c>
    </row>
    <row r="2" spans="1:4" ht="24.75" customHeight="1">
      <c r="A2" s="285" t="s">
        <v>749</v>
      </c>
      <c r="B2" s="285"/>
      <c r="C2" s="285"/>
      <c r="D2" s="285"/>
    </row>
    <row r="3" spans="1:4" ht="17.45" customHeight="1">
      <c r="A3" s="24"/>
      <c r="B3" s="12"/>
      <c r="C3" s="14"/>
      <c r="D3" s="15" t="s">
        <v>36</v>
      </c>
    </row>
    <row r="4" spans="1:4" ht="36.75" customHeight="1">
      <c r="A4" s="175" t="s">
        <v>64</v>
      </c>
      <c r="B4" s="164" t="s">
        <v>112</v>
      </c>
      <c r="C4" s="56" t="s">
        <v>369</v>
      </c>
      <c r="D4" s="56" t="s">
        <v>370</v>
      </c>
    </row>
    <row r="5" spans="1:4" ht="19.5" customHeight="1">
      <c r="A5" s="176" t="s">
        <v>641</v>
      </c>
      <c r="B5" s="179">
        <f>SUM(B6:B10)</f>
        <v>0</v>
      </c>
      <c r="C5" s="179">
        <f>SUM(C6:C10)</f>
        <v>11487</v>
      </c>
      <c r="D5" s="105">
        <f t="shared" ref="D5:D22" si="0">IF(C5=0,0,B5*100/C5)</f>
        <v>0</v>
      </c>
    </row>
    <row r="6" spans="1:4" ht="19.5" customHeight="1">
      <c r="A6" s="177" t="s">
        <v>73</v>
      </c>
      <c r="B6" s="179"/>
      <c r="C6" s="180">
        <v>11343</v>
      </c>
      <c r="D6" s="105">
        <f t="shared" si="0"/>
        <v>0</v>
      </c>
    </row>
    <row r="7" spans="1:4" ht="19.5" customHeight="1">
      <c r="A7" s="177" t="s">
        <v>74</v>
      </c>
      <c r="B7" s="179"/>
      <c r="C7" s="180"/>
      <c r="D7" s="105">
        <f t="shared" si="0"/>
        <v>0</v>
      </c>
    </row>
    <row r="8" spans="1:4" ht="19.5" customHeight="1">
      <c r="A8" s="177" t="s">
        <v>75</v>
      </c>
      <c r="B8" s="179"/>
      <c r="C8" s="180">
        <v>115</v>
      </c>
      <c r="D8" s="105">
        <f t="shared" si="0"/>
        <v>0</v>
      </c>
    </row>
    <row r="9" spans="1:4" ht="19.5" customHeight="1">
      <c r="A9" s="177" t="s">
        <v>76</v>
      </c>
      <c r="B9" s="179"/>
      <c r="C9" s="180">
        <v>29</v>
      </c>
      <c r="D9" s="105">
        <f t="shared" si="0"/>
        <v>0</v>
      </c>
    </row>
    <row r="10" spans="1:4" ht="19.5" customHeight="1">
      <c r="A10" s="177" t="s">
        <v>78</v>
      </c>
      <c r="B10" s="179"/>
      <c r="C10" s="180"/>
      <c r="D10" s="105">
        <f t="shared" si="0"/>
        <v>0</v>
      </c>
    </row>
    <row r="11" spans="1:4" ht="19.5" customHeight="1">
      <c r="A11" s="176" t="s">
        <v>642</v>
      </c>
      <c r="B11" s="179">
        <f>SUM(B12:B16)</f>
        <v>226689</v>
      </c>
      <c r="C11" s="179">
        <f>SUM(C12:C16)</f>
        <v>209352</v>
      </c>
      <c r="D11" s="105">
        <f t="shared" si="0"/>
        <v>108.28</v>
      </c>
    </row>
    <row r="12" spans="1:4" ht="19.5" customHeight="1">
      <c r="A12" s="165" t="s">
        <v>63</v>
      </c>
      <c r="B12" s="179">
        <v>188671</v>
      </c>
      <c r="C12" s="180">
        <v>172523</v>
      </c>
      <c r="D12" s="105">
        <f t="shared" si="0"/>
        <v>109.36</v>
      </c>
    </row>
    <row r="13" spans="1:4" ht="19.5" customHeight="1">
      <c r="A13" s="165" t="s">
        <v>60</v>
      </c>
      <c r="B13" s="179"/>
      <c r="C13" s="180"/>
      <c r="D13" s="105">
        <f t="shared" si="0"/>
        <v>0</v>
      </c>
    </row>
    <row r="14" spans="1:4" ht="19.5" customHeight="1">
      <c r="A14" s="165" t="s">
        <v>59</v>
      </c>
      <c r="B14" s="179">
        <v>3054</v>
      </c>
      <c r="C14" s="180">
        <v>3108</v>
      </c>
      <c r="D14" s="105">
        <f t="shared" si="0"/>
        <v>98.26</v>
      </c>
    </row>
    <row r="15" spans="1:4" ht="19.5" customHeight="1">
      <c r="A15" s="165" t="s">
        <v>61</v>
      </c>
      <c r="B15" s="179">
        <v>34964</v>
      </c>
      <c r="C15" s="180">
        <v>33721</v>
      </c>
      <c r="D15" s="105">
        <f t="shared" si="0"/>
        <v>103.69</v>
      </c>
    </row>
    <row r="16" spans="1:4" ht="19.5" customHeight="1">
      <c r="A16" s="181" t="s">
        <v>77</v>
      </c>
      <c r="B16" s="179"/>
      <c r="C16" s="180"/>
      <c r="D16" s="105">
        <f t="shared" si="0"/>
        <v>0</v>
      </c>
    </row>
    <row r="17" spans="1:4" ht="19.5" customHeight="1">
      <c r="A17" s="176" t="s">
        <v>651</v>
      </c>
      <c r="B17" s="179">
        <f>SUM(B18:B22)</f>
        <v>46495</v>
      </c>
      <c r="C17" s="179">
        <f>SUM(C18:C22)</f>
        <v>17264</v>
      </c>
      <c r="D17" s="105">
        <f t="shared" si="0"/>
        <v>269.32</v>
      </c>
    </row>
    <row r="18" spans="1:4" ht="19.5" customHeight="1">
      <c r="A18" s="177" t="s">
        <v>73</v>
      </c>
      <c r="B18" s="179">
        <v>16912</v>
      </c>
      <c r="C18" s="180">
        <v>17234</v>
      </c>
      <c r="D18" s="105">
        <f t="shared" si="0"/>
        <v>98.13</v>
      </c>
    </row>
    <row r="19" spans="1:4" ht="19.5" customHeight="1">
      <c r="A19" s="177" t="s">
        <v>74</v>
      </c>
      <c r="B19" s="179"/>
      <c r="C19" s="180"/>
      <c r="D19" s="105">
        <f t="shared" si="0"/>
        <v>0</v>
      </c>
    </row>
    <row r="20" spans="1:4" ht="19.5" customHeight="1">
      <c r="A20" s="177" t="s">
        <v>75</v>
      </c>
      <c r="B20" s="179">
        <v>20</v>
      </c>
      <c r="C20" s="180">
        <v>20</v>
      </c>
      <c r="D20" s="105">
        <f t="shared" si="0"/>
        <v>100</v>
      </c>
    </row>
    <row r="21" spans="1:4" ht="19.5" customHeight="1">
      <c r="A21" s="177" t="s">
        <v>76</v>
      </c>
      <c r="B21" s="179">
        <v>29563</v>
      </c>
      <c r="C21" s="180">
        <v>10</v>
      </c>
      <c r="D21" s="105">
        <f t="shared" si="0"/>
        <v>295630</v>
      </c>
    </row>
    <row r="22" spans="1:4" ht="19.5" customHeight="1">
      <c r="A22" s="177" t="s">
        <v>78</v>
      </c>
      <c r="B22" s="179"/>
      <c r="C22" s="180"/>
      <c r="D22" s="105">
        <f t="shared" si="0"/>
        <v>0</v>
      </c>
    </row>
    <row r="23" spans="1:4" ht="19.5" customHeight="1">
      <c r="A23" s="176" t="s">
        <v>644</v>
      </c>
      <c r="B23" s="179">
        <f>SUM(B24:B28)-1</f>
        <v>211446</v>
      </c>
      <c r="C23" s="179">
        <f>SUM(C24:C28)</f>
        <v>203314</v>
      </c>
      <c r="D23" s="105">
        <f t="shared" ref="D23:D35" si="1">IF(C23=0,0,B23*100/C23)</f>
        <v>104</v>
      </c>
    </row>
    <row r="24" spans="1:4" ht="19.5" customHeight="1">
      <c r="A24" s="177" t="s">
        <v>73</v>
      </c>
      <c r="B24" s="179">
        <v>74670</v>
      </c>
      <c r="C24" s="180">
        <v>69837</v>
      </c>
      <c r="D24" s="105">
        <f t="shared" si="1"/>
        <v>106.92</v>
      </c>
    </row>
    <row r="25" spans="1:4" ht="19.5" customHeight="1">
      <c r="A25" s="177" t="s">
        <v>74</v>
      </c>
      <c r="B25" s="179">
        <v>136539</v>
      </c>
      <c r="C25" s="180">
        <v>133127</v>
      </c>
      <c r="D25" s="105">
        <f t="shared" si="1"/>
        <v>102.56</v>
      </c>
    </row>
    <row r="26" spans="1:4" ht="19.5" customHeight="1">
      <c r="A26" s="177" t="s">
        <v>75</v>
      </c>
      <c r="B26" s="179">
        <v>238</v>
      </c>
      <c r="C26" s="180">
        <v>350</v>
      </c>
      <c r="D26" s="105">
        <f t="shared" si="1"/>
        <v>68</v>
      </c>
    </row>
    <row r="27" spans="1:4" ht="19.5" customHeight="1">
      <c r="A27" s="177" t="s">
        <v>76</v>
      </c>
      <c r="B27" s="179"/>
      <c r="C27" s="180"/>
      <c r="D27" s="105">
        <f t="shared" si="1"/>
        <v>0</v>
      </c>
    </row>
    <row r="28" spans="1:4" ht="19.5" customHeight="1">
      <c r="A28" s="178" t="s">
        <v>78</v>
      </c>
      <c r="B28" s="179"/>
      <c r="C28" s="180"/>
      <c r="D28" s="105">
        <f t="shared" si="1"/>
        <v>0</v>
      </c>
    </row>
    <row r="29" spans="1:4" ht="19.5" customHeight="1">
      <c r="A29" s="176" t="s">
        <v>649</v>
      </c>
      <c r="B29" s="179">
        <f>SUM(B30:B34)</f>
        <v>72914</v>
      </c>
      <c r="C29" s="179">
        <f>SUM(C30:C34)</f>
        <v>62597</v>
      </c>
      <c r="D29" s="105">
        <f t="shared" ref="D29:D34" si="2">IF(C29=0,0,B29*100/C29)</f>
        <v>116.48</v>
      </c>
    </row>
    <row r="30" spans="1:4" ht="19.5" customHeight="1">
      <c r="A30" s="165" t="s">
        <v>63</v>
      </c>
      <c r="B30" s="179">
        <v>36468</v>
      </c>
      <c r="C30" s="180">
        <v>25061</v>
      </c>
      <c r="D30" s="105">
        <f t="shared" si="2"/>
        <v>145.52000000000001</v>
      </c>
    </row>
    <row r="31" spans="1:4" ht="19.5" customHeight="1">
      <c r="A31" s="165" t="s">
        <v>60</v>
      </c>
      <c r="B31" s="179">
        <v>35200</v>
      </c>
      <c r="C31" s="180">
        <v>36500</v>
      </c>
      <c r="D31" s="105">
        <f t="shared" si="2"/>
        <v>96.44</v>
      </c>
    </row>
    <row r="32" spans="1:4" ht="19.5" customHeight="1">
      <c r="A32" s="165" t="s">
        <v>59</v>
      </c>
      <c r="B32" s="179">
        <v>196</v>
      </c>
      <c r="C32" s="180">
        <v>136</v>
      </c>
      <c r="D32" s="105">
        <f t="shared" si="2"/>
        <v>144.12</v>
      </c>
    </row>
    <row r="33" spans="1:4" ht="19.5" customHeight="1">
      <c r="A33" s="165" t="s">
        <v>61</v>
      </c>
      <c r="B33" s="179">
        <v>1050</v>
      </c>
      <c r="C33" s="180">
        <v>900</v>
      </c>
      <c r="D33" s="105">
        <f t="shared" si="2"/>
        <v>116.67</v>
      </c>
    </row>
    <row r="34" spans="1:4" ht="19.5" customHeight="1">
      <c r="A34" s="181" t="s">
        <v>77</v>
      </c>
      <c r="B34" s="179"/>
      <c r="C34" s="180"/>
      <c r="D34" s="105">
        <f t="shared" si="2"/>
        <v>0</v>
      </c>
    </row>
    <row r="35" spans="1:4" ht="19.5" customHeight="1">
      <c r="A35" s="168" t="s">
        <v>371</v>
      </c>
      <c r="B35" s="179">
        <f>B29+B11+B23+B17+B5+1</f>
        <v>557545</v>
      </c>
      <c r="C35" s="179">
        <f>C29+C11+C23+C17+C5</f>
        <v>504014</v>
      </c>
      <c r="D35" s="105">
        <f t="shared" si="1"/>
        <v>110.62</v>
      </c>
    </row>
    <row r="36" spans="1:4">
      <c r="A36" s="217" t="s">
        <v>755</v>
      </c>
    </row>
  </sheetData>
  <mergeCells count="1">
    <mergeCell ref="A2:D2"/>
  </mergeCells>
  <phoneticPr fontId="37" type="noConversion"/>
  <conditionalFormatting sqref="A24:A28">
    <cfRule type="expression" dxfId="4" priority="6" stopIfTrue="1">
      <formula>"len($A:$A)=3"</formula>
    </cfRule>
  </conditionalFormatting>
  <conditionalFormatting sqref="A18:A22">
    <cfRule type="expression" dxfId="3" priority="4" stopIfTrue="1">
      <formula>"len($A:$A)=3"</formula>
    </cfRule>
  </conditionalFormatting>
  <conditionalFormatting sqref="A6:A10">
    <cfRule type="expression" dxfId="2" priority="3" stopIfTrue="1">
      <formula>"len($A:$A)=3"</formula>
    </cfRule>
  </conditionalFormatting>
  <conditionalFormatting sqref="D5:D35">
    <cfRule type="cellIs" dxfId="1" priority="1" stopIfTrue="1" operator="less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97" fitToHeight="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0"/>
  <sheetViews>
    <sheetView showZeros="0" workbookViewId="0">
      <selection activeCell="J14" sqref="J14"/>
    </sheetView>
  </sheetViews>
  <sheetFormatPr defaultColWidth="9" defaultRowHeight="14.25"/>
  <cols>
    <col min="1" max="1" width="46" style="22" customWidth="1"/>
    <col min="2" max="2" width="13" style="23" customWidth="1"/>
    <col min="3" max="3" width="13.375" style="22" customWidth="1"/>
    <col min="4" max="4" width="16.75" style="22" customWidth="1"/>
    <col min="5" max="16384" width="9" style="22"/>
  </cols>
  <sheetData>
    <row r="1" spans="1:4" ht="19.350000000000001" customHeight="1">
      <c r="A1" s="22" t="s">
        <v>281</v>
      </c>
    </row>
    <row r="2" spans="1:4" ht="26.45" customHeight="1">
      <c r="A2" s="285" t="s">
        <v>750</v>
      </c>
      <c r="B2" s="285"/>
      <c r="C2" s="285"/>
      <c r="D2" s="285"/>
    </row>
    <row r="3" spans="1:4" ht="17.45" customHeight="1">
      <c r="A3" s="24"/>
      <c r="B3" s="12"/>
      <c r="C3" s="14"/>
      <c r="D3" s="15" t="s">
        <v>36</v>
      </c>
    </row>
    <row r="4" spans="1:4" ht="44.45" customHeight="1">
      <c r="A4" s="175" t="s">
        <v>64</v>
      </c>
      <c r="B4" s="164" t="s">
        <v>112</v>
      </c>
      <c r="C4" s="56" t="s">
        <v>369</v>
      </c>
      <c r="D4" s="56" t="s">
        <v>370</v>
      </c>
    </row>
    <row r="5" spans="1:4" ht="22.9" customHeight="1">
      <c r="A5" s="176" t="s">
        <v>653</v>
      </c>
      <c r="B5" s="179">
        <f>SUM(B6:B12)</f>
        <v>0</v>
      </c>
      <c r="C5" s="179">
        <f>SUM(C6:C12)</f>
        <v>14593</v>
      </c>
      <c r="D5" s="105">
        <f>IF(C5=0,0,B5*100/C5)</f>
        <v>0</v>
      </c>
    </row>
    <row r="6" spans="1:4" ht="22.9" customHeight="1">
      <c r="A6" s="186" t="s">
        <v>80</v>
      </c>
      <c r="B6" s="179"/>
      <c r="C6" s="180">
        <v>5991</v>
      </c>
      <c r="D6" s="105">
        <f>IF(C6=0,0,B6*100/C6)</f>
        <v>0</v>
      </c>
    </row>
    <row r="7" spans="1:4" ht="22.9" customHeight="1">
      <c r="A7" s="186" t="s">
        <v>69</v>
      </c>
      <c r="B7" s="179"/>
      <c r="C7" s="180">
        <v>807</v>
      </c>
      <c r="D7" s="105">
        <f>IF(C7=0,0,B7*100/C7)</f>
        <v>0</v>
      </c>
    </row>
    <row r="8" spans="1:4" ht="22.9" customHeight="1">
      <c r="A8" s="186" t="s">
        <v>79</v>
      </c>
      <c r="B8" s="179"/>
      <c r="C8" s="180">
        <v>3</v>
      </c>
      <c r="D8" s="105">
        <f>IF(C8=0,0,B8*100/C8)</f>
        <v>0</v>
      </c>
    </row>
    <row r="9" spans="1:4" ht="22.9" customHeight="1">
      <c r="A9" s="186" t="s">
        <v>656</v>
      </c>
      <c r="B9" s="179"/>
      <c r="C9" s="180">
        <v>700</v>
      </c>
      <c r="D9" s="105">
        <f>IF(C9=0,0,B9*100/C9)</f>
        <v>0</v>
      </c>
    </row>
    <row r="10" spans="1:4" ht="22.9" customHeight="1">
      <c r="A10" s="208" t="s">
        <v>655</v>
      </c>
      <c r="B10" s="206"/>
      <c r="C10" s="207">
        <v>3273</v>
      </c>
      <c r="D10" s="129"/>
    </row>
    <row r="11" spans="1:4" ht="22.9" customHeight="1">
      <c r="A11" s="208" t="s">
        <v>657</v>
      </c>
      <c r="B11" s="206"/>
      <c r="C11" s="207">
        <v>206</v>
      </c>
      <c r="D11" s="129"/>
    </row>
    <row r="12" spans="1:4" ht="22.9" customHeight="1">
      <c r="A12" s="186" t="s">
        <v>70</v>
      </c>
      <c r="B12" s="179"/>
      <c r="C12" s="180">
        <v>3613</v>
      </c>
      <c r="D12" s="105">
        <f>IF(C12=0,0,B12*100/C12)</f>
        <v>0</v>
      </c>
    </row>
    <row r="13" spans="1:4" ht="22.9" customHeight="1">
      <c r="A13" s="176" t="s">
        <v>654</v>
      </c>
      <c r="B13" s="179">
        <f>SUM(B14:B16)</f>
        <v>215315</v>
      </c>
      <c r="C13" s="180">
        <f>SUM(C14:C16)</f>
        <v>200370</v>
      </c>
      <c r="D13" s="105">
        <f t="shared" ref="D13:D29" si="0">IF(C13=0,0,B13*100/C13)</f>
        <v>107.46</v>
      </c>
    </row>
    <row r="14" spans="1:4" ht="22.9" customHeight="1">
      <c r="A14" s="183" t="s">
        <v>250</v>
      </c>
      <c r="B14" s="179">
        <v>143447</v>
      </c>
      <c r="C14" s="180">
        <v>127636</v>
      </c>
      <c r="D14" s="105">
        <f t="shared" si="0"/>
        <v>112.39</v>
      </c>
    </row>
    <row r="15" spans="1:4" ht="22.9" customHeight="1">
      <c r="A15" s="183" t="s">
        <v>251</v>
      </c>
      <c r="B15" s="179">
        <v>61087</v>
      </c>
      <c r="C15" s="180">
        <v>62682</v>
      </c>
      <c r="D15" s="105">
        <f t="shared" si="0"/>
        <v>97.46</v>
      </c>
    </row>
    <row r="16" spans="1:4" ht="22.9" customHeight="1">
      <c r="A16" s="183" t="s">
        <v>252</v>
      </c>
      <c r="B16" s="179">
        <v>10781</v>
      </c>
      <c r="C16" s="180">
        <v>10052</v>
      </c>
      <c r="D16" s="105">
        <f t="shared" si="0"/>
        <v>107.25</v>
      </c>
    </row>
    <row r="17" spans="1:4" ht="22.9" customHeight="1">
      <c r="A17" s="176" t="s">
        <v>648</v>
      </c>
      <c r="B17" s="179">
        <f>SUM(B18:B21)</f>
        <v>46495</v>
      </c>
      <c r="C17" s="179">
        <f>SUM(C18:C21)</f>
        <v>35294</v>
      </c>
      <c r="D17" s="105">
        <f>IF(C17=0,0,B17*100/C17)</f>
        <v>131.74</v>
      </c>
    </row>
    <row r="18" spans="1:4" ht="22.9" customHeight="1">
      <c r="A18" s="185" t="s">
        <v>276</v>
      </c>
      <c r="B18" s="179">
        <v>41281</v>
      </c>
      <c r="C18" s="180">
        <v>35113</v>
      </c>
      <c r="D18" s="105">
        <f>IF(C18=0,0,B18*100/C18)</f>
        <v>117.57</v>
      </c>
    </row>
    <row r="19" spans="1:4" ht="22.9" customHeight="1">
      <c r="A19" s="185" t="s">
        <v>66</v>
      </c>
      <c r="B19" s="179"/>
      <c r="C19" s="180"/>
      <c r="D19" s="105">
        <f>IF(C19=0,0,B19*100/C19)</f>
        <v>0</v>
      </c>
    </row>
    <row r="20" spans="1:4" ht="22.9" customHeight="1">
      <c r="A20" s="185" t="s">
        <v>67</v>
      </c>
      <c r="B20" s="179">
        <v>168</v>
      </c>
      <c r="C20" s="180">
        <v>171</v>
      </c>
      <c r="D20" s="105">
        <f>IF(C20=0,0,B20*100/C20)</f>
        <v>98.25</v>
      </c>
    </row>
    <row r="21" spans="1:4" ht="22.9" customHeight="1">
      <c r="A21" s="185" t="s">
        <v>68</v>
      </c>
      <c r="B21" s="179">
        <v>5046</v>
      </c>
      <c r="C21" s="180">
        <v>10</v>
      </c>
      <c r="D21" s="105">
        <f>IF(C21=0,0,B21*100/C21)</f>
        <v>50460</v>
      </c>
    </row>
    <row r="22" spans="1:4" ht="22.9" customHeight="1">
      <c r="A22" s="176" t="s">
        <v>658</v>
      </c>
      <c r="B22" s="180">
        <f>SUM(B23:B25)-1</f>
        <v>211257</v>
      </c>
      <c r="C22" s="180">
        <f>SUM(C23:C25)</f>
        <v>221435</v>
      </c>
      <c r="D22" s="105">
        <f t="shared" si="0"/>
        <v>95.4</v>
      </c>
    </row>
    <row r="23" spans="1:4" ht="22.9" customHeight="1">
      <c r="A23" s="184" t="s">
        <v>253</v>
      </c>
      <c r="B23" s="179">
        <v>186008</v>
      </c>
      <c r="C23" s="180">
        <v>199912</v>
      </c>
      <c r="D23" s="105">
        <f t="shared" si="0"/>
        <v>93.04</v>
      </c>
    </row>
    <row r="24" spans="1:4" ht="22.9" customHeight="1">
      <c r="A24" s="184" t="s">
        <v>254</v>
      </c>
      <c r="B24" s="179">
        <v>25100</v>
      </c>
      <c r="C24" s="180">
        <v>16000</v>
      </c>
      <c r="D24" s="105">
        <f t="shared" si="0"/>
        <v>156.88</v>
      </c>
    </row>
    <row r="25" spans="1:4" ht="22.9" customHeight="1">
      <c r="A25" s="184" t="s">
        <v>255</v>
      </c>
      <c r="B25" s="179">
        <v>150</v>
      </c>
      <c r="C25" s="180">
        <v>5523</v>
      </c>
      <c r="D25" s="105">
        <f t="shared" si="0"/>
        <v>2.72</v>
      </c>
    </row>
    <row r="26" spans="1:4" ht="22.9" customHeight="1">
      <c r="A26" s="176" t="s">
        <v>650</v>
      </c>
      <c r="B26" s="179">
        <f>SUM(B27:B28)</f>
        <v>75414</v>
      </c>
      <c r="C26" s="179">
        <f>SUM(C27:C28)</f>
        <v>64597</v>
      </c>
      <c r="D26" s="105">
        <f>IF(C26=0,0,B26*100/C26)</f>
        <v>116.75</v>
      </c>
    </row>
    <row r="27" spans="1:4" ht="22.9" customHeight="1">
      <c r="A27" s="182" t="s">
        <v>71</v>
      </c>
      <c r="B27" s="179">
        <v>67414</v>
      </c>
      <c r="C27" s="180">
        <v>62117</v>
      </c>
      <c r="D27" s="105">
        <f>IF(C27=0,0,B27*100/C27)</f>
        <v>108.53</v>
      </c>
    </row>
    <row r="28" spans="1:4" ht="22.9" customHeight="1">
      <c r="A28" s="182" t="s">
        <v>72</v>
      </c>
      <c r="B28" s="179">
        <v>8000</v>
      </c>
      <c r="C28" s="180">
        <v>2480</v>
      </c>
      <c r="D28" s="105">
        <f>IF(C28=0,0,B28*100/C28)</f>
        <v>322.58</v>
      </c>
    </row>
    <row r="29" spans="1:4" ht="28.5" customHeight="1">
      <c r="A29" s="168" t="s">
        <v>371</v>
      </c>
      <c r="B29" s="179">
        <f>B5+B17+B22+B13+B26</f>
        <v>548481</v>
      </c>
      <c r="C29" s="179">
        <f>C5+C17+C22+C13+C26</f>
        <v>536289</v>
      </c>
      <c r="D29" s="105">
        <f t="shared" si="0"/>
        <v>102.27</v>
      </c>
    </row>
    <row r="30" spans="1:4">
      <c r="A30" s="217" t="s">
        <v>755</v>
      </c>
    </row>
  </sheetData>
  <mergeCells count="1">
    <mergeCell ref="A2:D2"/>
  </mergeCells>
  <phoneticPr fontId="37" type="noConversion"/>
  <conditionalFormatting sqref="D5:D29">
    <cfRule type="cellIs" dxfId="0" priority="1" stopIfTrue="1" operator="less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91" fitToHeight="0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showZeros="0" zoomScaleNormal="100" workbookViewId="0">
      <selection activeCell="E17" sqref="E17"/>
    </sheetView>
  </sheetViews>
  <sheetFormatPr defaultColWidth="8.75" defaultRowHeight="14.25"/>
  <cols>
    <col min="1" max="1" width="12.875" style="219" customWidth="1"/>
    <col min="2" max="2" width="34.25" style="219" customWidth="1"/>
    <col min="3" max="3" width="34.125" style="219" customWidth="1"/>
    <col min="4" max="4" width="22.375" style="219" customWidth="1"/>
    <col min="5" max="5" width="21.5" style="219" customWidth="1"/>
    <col min="6" max="6" width="23.25" style="219" customWidth="1"/>
    <col min="7" max="7" width="18.5" style="219" customWidth="1"/>
    <col min="8" max="8" width="15.375" style="219" customWidth="1"/>
    <col min="9" max="9" width="14.625" style="219" customWidth="1"/>
    <col min="10" max="10" width="17.75" style="219" customWidth="1"/>
    <col min="11" max="16384" width="8.75" style="219"/>
  </cols>
  <sheetData>
    <row r="1" spans="1:10">
      <c r="A1" s="219" t="s">
        <v>756</v>
      </c>
    </row>
    <row r="2" spans="1:10" ht="29.45" customHeight="1">
      <c r="A2" s="289" t="s">
        <v>757</v>
      </c>
      <c r="B2" s="289"/>
      <c r="C2" s="289"/>
    </row>
    <row r="3" spans="1:10" ht="25.9" customHeight="1">
      <c r="A3" s="220"/>
      <c r="B3" s="221"/>
      <c r="C3" s="222" t="s">
        <v>758</v>
      </c>
    </row>
    <row r="4" spans="1:10" ht="27.75" customHeight="1">
      <c r="A4" s="287" t="s">
        <v>759</v>
      </c>
      <c r="B4" s="287"/>
      <c r="C4" s="223" t="s">
        <v>760</v>
      </c>
      <c r="D4" s="224"/>
      <c r="E4" s="224"/>
    </row>
    <row r="5" spans="1:10" ht="27.75" customHeight="1">
      <c r="A5" s="288" t="s">
        <v>761</v>
      </c>
      <c r="B5" s="288"/>
      <c r="C5" s="225">
        <v>3557372</v>
      </c>
      <c r="D5" s="224"/>
      <c r="E5" s="224"/>
    </row>
    <row r="6" spans="1:10" ht="27.75" customHeight="1">
      <c r="A6" s="288" t="s">
        <v>762</v>
      </c>
      <c r="B6" s="288"/>
      <c r="C6" s="225">
        <v>516826</v>
      </c>
      <c r="D6" s="224"/>
      <c r="E6" s="224"/>
    </row>
    <row r="7" spans="1:10" ht="27.75" customHeight="1">
      <c r="A7" s="288" t="s">
        <v>763</v>
      </c>
      <c r="B7" s="288"/>
      <c r="C7" s="225">
        <v>485346</v>
      </c>
      <c r="D7" s="226"/>
      <c r="E7" s="227"/>
      <c r="F7" s="228"/>
      <c r="G7" s="228"/>
      <c r="H7" s="228"/>
      <c r="I7" s="228"/>
      <c r="J7" s="228"/>
    </row>
    <row r="8" spans="1:10" ht="27.75" customHeight="1">
      <c r="A8" s="288" t="s">
        <v>764</v>
      </c>
      <c r="B8" s="288"/>
      <c r="C8" s="225">
        <v>3588852</v>
      </c>
      <c r="D8" s="229"/>
      <c r="E8" s="230"/>
      <c r="F8" s="231"/>
      <c r="G8" s="232"/>
    </row>
    <row r="9" spans="1:10" ht="27.75" customHeight="1">
      <c r="A9" s="287" t="s">
        <v>765</v>
      </c>
      <c r="B9" s="287"/>
      <c r="C9" s="223" t="s">
        <v>766</v>
      </c>
      <c r="D9" s="229"/>
      <c r="E9" s="229"/>
    </row>
    <row r="10" spans="1:10" ht="27.75" customHeight="1">
      <c r="A10" s="288" t="s">
        <v>767</v>
      </c>
      <c r="B10" s="288"/>
      <c r="C10" s="233">
        <v>4150149</v>
      </c>
      <c r="D10" s="229"/>
      <c r="E10" s="229"/>
      <c r="F10" s="234"/>
      <c r="H10" s="235"/>
    </row>
    <row r="11" spans="1:10" ht="27.75" customHeight="1">
      <c r="A11" s="288" t="s">
        <v>768</v>
      </c>
      <c r="B11" s="288"/>
      <c r="C11" s="233">
        <v>132395</v>
      </c>
      <c r="D11" s="229"/>
      <c r="E11" s="229"/>
    </row>
    <row r="12" spans="1:10" ht="27.75" customHeight="1">
      <c r="A12" s="288" t="s">
        <v>769</v>
      </c>
      <c r="B12" s="288"/>
      <c r="C12" s="233"/>
      <c r="D12" s="229"/>
      <c r="E12" s="229"/>
      <c r="F12" s="236"/>
    </row>
    <row r="13" spans="1:10" ht="27.75" customHeight="1">
      <c r="A13" s="288" t="s">
        <v>770</v>
      </c>
      <c r="B13" s="288"/>
      <c r="C13" s="233"/>
      <c r="D13" s="229"/>
      <c r="E13" s="229"/>
    </row>
    <row r="14" spans="1:10" ht="27.75" customHeight="1">
      <c r="A14" s="288" t="s">
        <v>771</v>
      </c>
      <c r="B14" s="288"/>
      <c r="C14" s="233">
        <v>4282544</v>
      </c>
      <c r="D14" s="229"/>
      <c r="E14" s="229"/>
    </row>
    <row r="15" spans="1:10" ht="54.6" customHeight="1">
      <c r="A15" s="286"/>
      <c r="B15" s="286"/>
      <c r="C15" s="286"/>
    </row>
  </sheetData>
  <mergeCells count="13">
    <mergeCell ref="A8:B8"/>
    <mergeCell ref="A2:C2"/>
    <mergeCell ref="A4:B4"/>
    <mergeCell ref="A5:B5"/>
    <mergeCell ref="A6:B6"/>
    <mergeCell ref="A7:B7"/>
    <mergeCell ref="A15:C15"/>
    <mergeCell ref="A9:B9"/>
    <mergeCell ref="A10:B10"/>
    <mergeCell ref="A11:B11"/>
    <mergeCell ref="A12:B12"/>
    <mergeCell ref="A13:B13"/>
    <mergeCell ref="A14:B14"/>
  </mergeCells>
  <phoneticPr fontId="37" type="noConversion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zoomScaleNormal="100" workbookViewId="0">
      <selection activeCell="K22" sqref="K22"/>
    </sheetView>
  </sheetViews>
  <sheetFormatPr defaultRowHeight="14.25"/>
  <cols>
    <col min="2" max="2" width="33.625" customWidth="1"/>
    <col min="3" max="3" width="28.75" customWidth="1"/>
  </cols>
  <sheetData>
    <row r="1" spans="1:3" ht="20.25" customHeight="1">
      <c r="A1" s="235" t="s">
        <v>772</v>
      </c>
      <c r="B1" s="235"/>
      <c r="C1" s="235"/>
    </row>
    <row r="2" spans="1:3" ht="31.5" customHeight="1">
      <c r="A2" s="290" t="s">
        <v>773</v>
      </c>
      <c r="B2" s="291"/>
      <c r="C2" s="291"/>
    </row>
    <row r="3" spans="1:3" ht="31.5" customHeight="1">
      <c r="A3" s="237"/>
      <c r="B3" s="238"/>
      <c r="C3" s="239" t="s">
        <v>774</v>
      </c>
    </row>
    <row r="4" spans="1:3" ht="27" customHeight="1">
      <c r="A4" s="287" t="s">
        <v>775</v>
      </c>
      <c r="B4" s="287"/>
      <c r="C4" s="223" t="s">
        <v>776</v>
      </c>
    </row>
    <row r="5" spans="1:3" ht="27" customHeight="1">
      <c r="A5" s="288" t="s">
        <v>777</v>
      </c>
      <c r="B5" s="288"/>
      <c r="C5" s="225">
        <v>667848</v>
      </c>
    </row>
    <row r="6" spans="1:3" ht="27" customHeight="1">
      <c r="A6" s="288" t="s">
        <v>778</v>
      </c>
      <c r="B6" s="288"/>
      <c r="C6" s="225">
        <v>139058</v>
      </c>
    </row>
    <row r="7" spans="1:3" ht="27" customHeight="1">
      <c r="A7" s="288" t="s">
        <v>779</v>
      </c>
      <c r="B7" s="288"/>
      <c r="C7" s="225">
        <v>133282</v>
      </c>
    </row>
    <row r="8" spans="1:3" ht="27" customHeight="1">
      <c r="A8" s="288" t="s">
        <v>780</v>
      </c>
      <c r="B8" s="288"/>
      <c r="C8" s="225">
        <v>673625</v>
      </c>
    </row>
    <row r="9" spans="1:3" ht="27" customHeight="1">
      <c r="A9" s="287" t="s">
        <v>781</v>
      </c>
      <c r="B9" s="287"/>
      <c r="C9" s="223" t="s">
        <v>776</v>
      </c>
    </row>
    <row r="10" spans="1:3" ht="27" customHeight="1">
      <c r="A10" s="288" t="s">
        <v>782</v>
      </c>
      <c r="B10" s="288"/>
      <c r="C10" s="233">
        <v>724415</v>
      </c>
    </row>
    <row r="11" spans="1:3" ht="27" customHeight="1">
      <c r="A11" s="288" t="s">
        <v>783</v>
      </c>
      <c r="B11" s="288"/>
      <c r="C11" s="233">
        <v>10434</v>
      </c>
    </row>
    <row r="12" spans="1:3" ht="27" customHeight="1">
      <c r="A12" s="288" t="s">
        <v>784</v>
      </c>
      <c r="B12" s="288"/>
      <c r="C12" s="233"/>
    </row>
    <row r="13" spans="1:3" ht="27" customHeight="1">
      <c r="A13" s="288" t="s">
        <v>785</v>
      </c>
      <c r="B13" s="288"/>
      <c r="C13" s="233"/>
    </row>
    <row r="14" spans="1:3" ht="27" customHeight="1">
      <c r="A14" s="288" t="s">
        <v>786</v>
      </c>
      <c r="B14" s="288"/>
      <c r="C14" s="233">
        <v>734849</v>
      </c>
    </row>
    <row r="15" spans="1:3" ht="51" customHeight="1">
      <c r="A15" s="286"/>
      <c r="B15" s="286"/>
      <c r="C15" s="286"/>
    </row>
  </sheetData>
  <mergeCells count="13">
    <mergeCell ref="A8:B8"/>
    <mergeCell ref="A2:C2"/>
    <mergeCell ref="A4:B4"/>
    <mergeCell ref="A5:B5"/>
    <mergeCell ref="A6:B6"/>
    <mergeCell ref="A7:B7"/>
    <mergeCell ref="A15:C15"/>
    <mergeCell ref="A9:B9"/>
    <mergeCell ref="A10:B10"/>
    <mergeCell ref="A11:B11"/>
    <mergeCell ref="A12:B12"/>
    <mergeCell ref="A13:B13"/>
    <mergeCell ref="A14:B14"/>
  </mergeCells>
  <phoneticPr fontId="37" type="noConversion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showZeros="0" zoomScaleNormal="100" workbookViewId="0">
      <selection activeCell="A15" sqref="A15:C15"/>
    </sheetView>
  </sheetViews>
  <sheetFormatPr defaultColWidth="8.75" defaultRowHeight="14.25"/>
  <cols>
    <col min="1" max="1" width="12.875" style="235" customWidth="1"/>
    <col min="2" max="2" width="33.875" style="235" customWidth="1"/>
    <col min="3" max="3" width="35.125" style="235" customWidth="1"/>
    <col min="4" max="16384" width="8.75" style="235"/>
  </cols>
  <sheetData>
    <row r="1" spans="1:4">
      <c r="A1" s="235" t="s">
        <v>787</v>
      </c>
    </row>
    <row r="2" spans="1:4" ht="29.45" customHeight="1">
      <c r="A2" s="290" t="s">
        <v>788</v>
      </c>
      <c r="B2" s="291"/>
      <c r="C2" s="291"/>
    </row>
    <row r="3" spans="1:4" ht="25.9" customHeight="1">
      <c r="A3" s="237"/>
      <c r="B3" s="238"/>
      <c r="C3" s="239" t="s">
        <v>789</v>
      </c>
    </row>
    <row r="4" spans="1:4" ht="29.25" customHeight="1">
      <c r="A4" s="287" t="s">
        <v>790</v>
      </c>
      <c r="B4" s="287"/>
      <c r="C4" s="223" t="s">
        <v>791</v>
      </c>
    </row>
    <row r="5" spans="1:4" ht="29.25" customHeight="1">
      <c r="A5" s="292" t="s">
        <v>792</v>
      </c>
      <c r="B5" s="292"/>
      <c r="C5" s="240">
        <v>3408510</v>
      </c>
    </row>
    <row r="6" spans="1:4" ht="29.25" customHeight="1">
      <c r="A6" s="292" t="s">
        <v>793</v>
      </c>
      <c r="B6" s="292"/>
      <c r="C6" s="240">
        <v>935185</v>
      </c>
    </row>
    <row r="7" spans="1:4" ht="29.25" customHeight="1">
      <c r="A7" s="292" t="s">
        <v>794</v>
      </c>
      <c r="B7" s="292"/>
      <c r="C7" s="240">
        <v>176105</v>
      </c>
      <c r="D7" s="241"/>
    </row>
    <row r="8" spans="1:4" ht="29.25" customHeight="1">
      <c r="A8" s="292" t="s">
        <v>795</v>
      </c>
      <c r="B8" s="292"/>
      <c r="C8" s="240">
        <v>4167590</v>
      </c>
    </row>
    <row r="9" spans="1:4" ht="29.25" customHeight="1">
      <c r="A9" s="287" t="s">
        <v>796</v>
      </c>
      <c r="B9" s="287"/>
      <c r="C9" s="223" t="s">
        <v>791</v>
      </c>
    </row>
    <row r="10" spans="1:4" ht="29.25" customHeight="1">
      <c r="A10" s="288" t="s">
        <v>797</v>
      </c>
      <c r="B10" s="288"/>
      <c r="C10" s="233">
        <v>4011236</v>
      </c>
    </row>
    <row r="11" spans="1:4" ht="29.25" customHeight="1">
      <c r="A11" s="288" t="s">
        <v>798</v>
      </c>
      <c r="B11" s="288"/>
      <c r="C11" s="233">
        <v>795747</v>
      </c>
    </row>
    <row r="12" spans="1:4" ht="29.25" customHeight="1">
      <c r="A12" s="288" t="s">
        <v>799</v>
      </c>
      <c r="B12" s="288"/>
      <c r="C12" s="233">
        <v>285328</v>
      </c>
    </row>
    <row r="13" spans="1:4" ht="29.25" customHeight="1">
      <c r="A13" s="288" t="s">
        <v>800</v>
      </c>
      <c r="B13" s="288"/>
      <c r="C13" s="233"/>
    </row>
    <row r="14" spans="1:4" ht="29.25" customHeight="1">
      <c r="A14" s="288" t="s">
        <v>801</v>
      </c>
      <c r="B14" s="288"/>
      <c r="C14" s="233">
        <v>4521655</v>
      </c>
    </row>
    <row r="15" spans="1:4" ht="49.9" customHeight="1">
      <c r="A15" s="286"/>
      <c r="B15" s="286"/>
      <c r="C15" s="286"/>
    </row>
  </sheetData>
  <mergeCells count="13">
    <mergeCell ref="A8:B8"/>
    <mergeCell ref="A2:C2"/>
    <mergeCell ref="A4:B4"/>
    <mergeCell ref="A5:B5"/>
    <mergeCell ref="A6:B6"/>
    <mergeCell ref="A7:B7"/>
    <mergeCell ref="A15:C15"/>
    <mergeCell ref="A9:B9"/>
    <mergeCell ref="A10:B10"/>
    <mergeCell ref="A11:B11"/>
    <mergeCell ref="A12:B12"/>
    <mergeCell ref="A13:B13"/>
    <mergeCell ref="A14:B14"/>
  </mergeCells>
  <phoneticPr fontId="37" type="noConversion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selection activeCell="K17" sqref="K17"/>
    </sheetView>
  </sheetViews>
  <sheetFormatPr defaultRowHeight="14.25"/>
  <cols>
    <col min="2" max="2" width="33.875" customWidth="1"/>
    <col min="3" max="3" width="30.375" customWidth="1"/>
  </cols>
  <sheetData>
    <row r="1" spans="1:3" ht="18.75" customHeight="1">
      <c r="A1" s="235" t="s">
        <v>802</v>
      </c>
      <c r="B1" s="235"/>
      <c r="C1" s="235"/>
    </row>
    <row r="2" spans="1:3" ht="39" customHeight="1">
      <c r="A2" s="290" t="s">
        <v>803</v>
      </c>
      <c r="B2" s="291"/>
      <c r="C2" s="291"/>
    </row>
    <row r="3" spans="1:3" ht="18.75" customHeight="1">
      <c r="A3" s="237"/>
      <c r="B3" s="238"/>
      <c r="C3" s="239" t="s">
        <v>804</v>
      </c>
    </row>
    <row r="4" spans="1:3" ht="31.5" customHeight="1">
      <c r="A4" s="287" t="s">
        <v>805</v>
      </c>
      <c r="B4" s="287"/>
      <c r="C4" s="223" t="s">
        <v>806</v>
      </c>
    </row>
    <row r="5" spans="1:3" ht="31.5" customHeight="1">
      <c r="A5" s="292" t="s">
        <v>807</v>
      </c>
      <c r="B5" s="292"/>
      <c r="C5" s="240">
        <v>915457</v>
      </c>
    </row>
    <row r="6" spans="1:3" ht="31.5" customHeight="1">
      <c r="A6" s="292" t="s">
        <v>808</v>
      </c>
      <c r="B6" s="292"/>
      <c r="C6" s="240">
        <v>206826</v>
      </c>
    </row>
    <row r="7" spans="1:3" ht="31.5" customHeight="1">
      <c r="A7" s="292" t="s">
        <v>809</v>
      </c>
      <c r="B7" s="292"/>
      <c r="C7" s="240">
        <v>128001</v>
      </c>
    </row>
    <row r="8" spans="1:3" ht="31.5" customHeight="1">
      <c r="A8" s="292" t="s">
        <v>810</v>
      </c>
      <c r="B8" s="292"/>
      <c r="C8" s="240">
        <v>994282</v>
      </c>
    </row>
    <row r="9" spans="1:3" ht="31.5" customHeight="1">
      <c r="A9" s="287" t="s">
        <v>811</v>
      </c>
      <c r="B9" s="287"/>
      <c r="C9" s="223" t="s">
        <v>812</v>
      </c>
    </row>
    <row r="10" spans="1:3" ht="31.5" customHeight="1">
      <c r="A10" s="288" t="s">
        <v>813</v>
      </c>
      <c r="B10" s="288"/>
      <c r="C10" s="242">
        <v>1139761</v>
      </c>
    </row>
    <row r="11" spans="1:3" ht="31.5" customHeight="1">
      <c r="A11" s="288" t="s">
        <v>814</v>
      </c>
      <c r="B11" s="288"/>
      <c r="C11" s="243">
        <v>99911</v>
      </c>
    </row>
    <row r="12" spans="1:3" ht="31.5" customHeight="1">
      <c r="A12" s="288" t="s">
        <v>815</v>
      </c>
      <c r="B12" s="288"/>
      <c r="C12" s="242">
        <v>72715</v>
      </c>
    </row>
    <row r="13" spans="1:3" ht="31.5" customHeight="1">
      <c r="A13" s="288" t="s">
        <v>816</v>
      </c>
      <c r="B13" s="288"/>
      <c r="C13" s="242"/>
    </row>
    <row r="14" spans="1:3" ht="31.5" customHeight="1">
      <c r="A14" s="288" t="s">
        <v>817</v>
      </c>
      <c r="B14" s="288"/>
      <c r="C14" s="242">
        <v>1166957</v>
      </c>
    </row>
    <row r="15" spans="1:3" ht="52.5" customHeight="1">
      <c r="A15" s="286"/>
      <c r="B15" s="286"/>
      <c r="C15" s="286"/>
    </row>
  </sheetData>
  <mergeCells count="13">
    <mergeCell ref="A15:C15"/>
    <mergeCell ref="A9:B9"/>
    <mergeCell ref="A10:B10"/>
    <mergeCell ref="A11:B11"/>
    <mergeCell ref="A12:B12"/>
    <mergeCell ref="A13:B13"/>
    <mergeCell ref="A14:B14"/>
    <mergeCell ref="A8:B8"/>
    <mergeCell ref="A2:C2"/>
    <mergeCell ref="A4:B4"/>
    <mergeCell ref="A5:B5"/>
    <mergeCell ref="A6:B6"/>
    <mergeCell ref="A7:B7"/>
  </mergeCells>
  <phoneticPr fontId="37" type="noConversion"/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workbookViewId="0">
      <selection activeCell="D21" sqref="D21"/>
    </sheetView>
  </sheetViews>
  <sheetFormatPr defaultRowHeight="14.25"/>
  <cols>
    <col min="1" max="1" width="17" style="244" customWidth="1"/>
    <col min="2" max="7" width="14.75" style="244" customWidth="1"/>
    <col min="8" max="16384" width="9" style="244"/>
  </cols>
  <sheetData>
    <row r="1" spans="1:7">
      <c r="A1" s="235" t="s">
        <v>818</v>
      </c>
    </row>
    <row r="2" spans="1:7" ht="37.5" customHeight="1">
      <c r="A2" s="293" t="s">
        <v>819</v>
      </c>
      <c r="B2" s="293"/>
      <c r="C2" s="293"/>
      <c r="D2" s="293"/>
      <c r="E2" s="293"/>
      <c r="F2" s="293"/>
      <c r="G2" s="293"/>
    </row>
    <row r="3" spans="1:7" ht="22.5" customHeight="1">
      <c r="G3" s="245" t="s">
        <v>28</v>
      </c>
    </row>
    <row r="4" spans="1:7" ht="30" customHeight="1">
      <c r="A4" s="294" t="s">
        <v>820</v>
      </c>
      <c r="B4" s="294" t="s">
        <v>821</v>
      </c>
      <c r="C4" s="294"/>
      <c r="D4" s="294"/>
      <c r="E4" s="294" t="s">
        <v>822</v>
      </c>
      <c r="F4" s="294"/>
      <c r="G4" s="294"/>
    </row>
    <row r="5" spans="1:7" ht="23.25" customHeight="1">
      <c r="A5" s="294"/>
      <c r="B5" s="246" t="s">
        <v>49</v>
      </c>
      <c r="C5" s="246" t="s">
        <v>823</v>
      </c>
      <c r="D5" s="246" t="s">
        <v>824</v>
      </c>
      <c r="E5" s="246" t="s">
        <v>825</v>
      </c>
      <c r="F5" s="246" t="s">
        <v>823</v>
      </c>
      <c r="G5" s="246" t="s">
        <v>824</v>
      </c>
    </row>
    <row r="6" spans="1:7" ht="24" customHeight="1">
      <c r="A6" s="246" t="s">
        <v>826</v>
      </c>
      <c r="B6" s="247">
        <f>SUM(B7:B18)</f>
        <v>8804199</v>
      </c>
      <c r="C6" s="247">
        <f>SUM(C7:C18)</f>
        <v>4282544</v>
      </c>
      <c r="D6" s="247">
        <f>SUM(D7:D18)</f>
        <v>4521655</v>
      </c>
      <c r="E6" s="247">
        <f t="shared" ref="E6:G6" si="0">SUM(E7:E18)</f>
        <v>7050484</v>
      </c>
      <c r="F6" s="247">
        <f t="shared" si="0"/>
        <v>3588853</v>
      </c>
      <c r="G6" s="247">
        <f t="shared" si="0"/>
        <v>4167590</v>
      </c>
    </row>
    <row r="7" spans="1:7" ht="24" customHeight="1">
      <c r="A7" s="246" t="s">
        <v>827</v>
      </c>
      <c r="B7" s="247">
        <f>C7+D7</f>
        <v>1901806</v>
      </c>
      <c r="C7" s="247">
        <v>734849</v>
      </c>
      <c r="D7" s="247">
        <v>1166957</v>
      </c>
      <c r="E7" s="247">
        <f>F7+G7</f>
        <v>1667907</v>
      </c>
      <c r="F7" s="247">
        <v>673625</v>
      </c>
      <c r="G7" s="247">
        <v>994282</v>
      </c>
    </row>
    <row r="8" spans="1:7" ht="24" customHeight="1">
      <c r="A8" s="246" t="s">
        <v>359</v>
      </c>
      <c r="B8" s="247">
        <f t="shared" ref="B8:B18" si="1">C8+D8</f>
        <v>639174</v>
      </c>
      <c r="C8" s="247">
        <v>271408</v>
      </c>
      <c r="D8" s="247">
        <v>367766</v>
      </c>
      <c r="E8" s="247">
        <v>482530</v>
      </c>
      <c r="F8" s="247">
        <v>217607</v>
      </c>
      <c r="G8" s="247">
        <v>367766</v>
      </c>
    </row>
    <row r="9" spans="1:7" ht="24" customHeight="1">
      <c r="A9" s="246" t="s">
        <v>828</v>
      </c>
      <c r="B9" s="247">
        <f t="shared" si="1"/>
        <v>1037813</v>
      </c>
      <c r="C9" s="247">
        <v>391925</v>
      </c>
      <c r="D9" s="247">
        <v>645888</v>
      </c>
      <c r="E9" s="247">
        <v>893656</v>
      </c>
      <c r="F9" s="247">
        <v>357389</v>
      </c>
      <c r="G9" s="247">
        <v>622800</v>
      </c>
    </row>
    <row r="10" spans="1:7" ht="24" customHeight="1">
      <c r="A10" s="246" t="s">
        <v>360</v>
      </c>
      <c r="B10" s="247">
        <f t="shared" si="1"/>
        <v>1273664</v>
      </c>
      <c r="C10" s="247">
        <v>709937</v>
      </c>
      <c r="D10" s="247">
        <v>563727</v>
      </c>
      <c r="E10" s="247">
        <v>1069003</v>
      </c>
      <c r="F10" s="247">
        <v>668970</v>
      </c>
      <c r="G10" s="247">
        <v>530426</v>
      </c>
    </row>
    <row r="11" spans="1:7" ht="24" customHeight="1">
      <c r="A11" s="246" t="s">
        <v>361</v>
      </c>
      <c r="B11" s="247">
        <f t="shared" si="1"/>
        <v>578406</v>
      </c>
      <c r="C11" s="247">
        <v>357487</v>
      </c>
      <c r="D11" s="247">
        <v>220919</v>
      </c>
      <c r="E11" s="247">
        <v>475392</v>
      </c>
      <c r="F11" s="247">
        <v>284020</v>
      </c>
      <c r="G11" s="247">
        <v>217640</v>
      </c>
    </row>
    <row r="12" spans="1:7" ht="24" customHeight="1">
      <c r="A12" s="246" t="s">
        <v>362</v>
      </c>
      <c r="B12" s="247">
        <f t="shared" si="1"/>
        <v>643094</v>
      </c>
      <c r="C12" s="247">
        <v>311673</v>
      </c>
      <c r="D12" s="247">
        <v>331421</v>
      </c>
      <c r="E12" s="247">
        <v>474796</v>
      </c>
      <c r="F12" s="247">
        <v>248055.01</v>
      </c>
      <c r="G12" s="247">
        <v>316965</v>
      </c>
    </row>
    <row r="13" spans="1:7" ht="24" customHeight="1">
      <c r="A13" s="246" t="s">
        <v>363</v>
      </c>
      <c r="B13" s="247">
        <f t="shared" si="1"/>
        <v>392826</v>
      </c>
      <c r="C13" s="247">
        <v>219526</v>
      </c>
      <c r="D13" s="247">
        <v>173300</v>
      </c>
      <c r="E13" s="247">
        <v>295681</v>
      </c>
      <c r="F13" s="247">
        <v>194265</v>
      </c>
      <c r="G13" s="247">
        <v>173300</v>
      </c>
    </row>
    <row r="14" spans="1:7" ht="24" customHeight="1">
      <c r="A14" s="246" t="s">
        <v>364</v>
      </c>
      <c r="B14" s="247">
        <f t="shared" si="1"/>
        <v>335144</v>
      </c>
      <c r="C14" s="247">
        <v>213012</v>
      </c>
      <c r="D14" s="247">
        <v>122132</v>
      </c>
      <c r="E14" s="247">
        <v>232175</v>
      </c>
      <c r="F14" s="247">
        <v>167101</v>
      </c>
      <c r="G14" s="247">
        <v>118697</v>
      </c>
    </row>
    <row r="15" spans="1:7" ht="24" customHeight="1">
      <c r="A15" s="246" t="s">
        <v>365</v>
      </c>
      <c r="B15" s="247">
        <f t="shared" si="1"/>
        <v>780843</v>
      </c>
      <c r="C15" s="247">
        <v>391069</v>
      </c>
      <c r="D15" s="247">
        <v>389774</v>
      </c>
      <c r="E15" s="247">
        <v>508713</v>
      </c>
      <c r="F15" s="247">
        <v>234959</v>
      </c>
      <c r="G15" s="247">
        <v>341231</v>
      </c>
    </row>
    <row r="16" spans="1:7" ht="24" customHeight="1">
      <c r="A16" s="246" t="s">
        <v>366</v>
      </c>
      <c r="B16" s="247">
        <f t="shared" si="1"/>
        <v>454129</v>
      </c>
      <c r="C16" s="247">
        <v>244220</v>
      </c>
      <c r="D16" s="247">
        <v>209909</v>
      </c>
      <c r="E16" s="247">
        <v>344132</v>
      </c>
      <c r="F16" s="247">
        <v>180359</v>
      </c>
      <c r="G16" s="247">
        <v>195681</v>
      </c>
    </row>
    <row r="17" spans="1:7" ht="24" customHeight="1">
      <c r="A17" s="246" t="s">
        <v>367</v>
      </c>
      <c r="B17" s="247">
        <f t="shared" si="1"/>
        <v>392311</v>
      </c>
      <c r="C17" s="247">
        <v>228788</v>
      </c>
      <c r="D17" s="247">
        <v>163523</v>
      </c>
      <c r="E17" s="247">
        <v>308078</v>
      </c>
      <c r="F17" s="247">
        <v>186831</v>
      </c>
      <c r="G17" s="247">
        <v>143398</v>
      </c>
    </row>
    <row r="18" spans="1:7" ht="24" customHeight="1">
      <c r="A18" s="246" t="s">
        <v>368</v>
      </c>
      <c r="B18" s="247">
        <f t="shared" si="1"/>
        <v>374989</v>
      </c>
      <c r="C18" s="247">
        <v>208650</v>
      </c>
      <c r="D18" s="247">
        <v>166339</v>
      </c>
      <c r="E18" s="247">
        <v>298421</v>
      </c>
      <c r="F18" s="247">
        <v>175672</v>
      </c>
      <c r="G18" s="247">
        <v>145404</v>
      </c>
    </row>
  </sheetData>
  <mergeCells count="4">
    <mergeCell ref="A2:G2"/>
    <mergeCell ref="A4:A5"/>
    <mergeCell ref="B4:D4"/>
    <mergeCell ref="E4:G4"/>
  </mergeCells>
  <phoneticPr fontId="37" type="noConversion"/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28</vt:i4>
      </vt:variant>
      <vt:variant>
        <vt:lpstr>命名范围</vt:lpstr>
      </vt:variant>
      <vt:variant>
        <vt:i4>23</vt:i4>
      </vt:variant>
    </vt:vector>
  </HeadingPairs>
  <TitlesOfParts>
    <vt:vector size="51" baseType="lpstr">
      <vt:lpstr>封面</vt:lpstr>
      <vt:lpstr>附表1-1</vt:lpstr>
      <vt:lpstr>附表1-2</vt:lpstr>
      <vt:lpstr>附表1-3</vt:lpstr>
      <vt:lpstr>附表1-4</vt:lpstr>
      <vt:lpstr>附表1-5</vt:lpstr>
      <vt:lpstr>附表1-6</vt:lpstr>
      <vt:lpstr>附表1-7</vt:lpstr>
      <vt:lpstr>附表1-8</vt:lpstr>
      <vt:lpstr>附表1-9</vt:lpstr>
      <vt:lpstr>附表1-10</vt:lpstr>
      <vt:lpstr>附表1-11</vt:lpstr>
      <vt:lpstr>附表1-12</vt:lpstr>
      <vt:lpstr>附表1-13</vt:lpstr>
      <vt:lpstr>附表1-14</vt:lpstr>
      <vt:lpstr>附表1-15</vt:lpstr>
      <vt:lpstr>附表1-16</vt:lpstr>
      <vt:lpstr>附表1-17</vt:lpstr>
      <vt:lpstr>附表1-18</vt:lpstr>
      <vt:lpstr>附表1-19</vt:lpstr>
      <vt:lpstr>附表1-20</vt:lpstr>
      <vt:lpstr>附表1-21</vt:lpstr>
      <vt:lpstr>附表1-22</vt:lpstr>
      <vt:lpstr>附表5-1</vt:lpstr>
      <vt:lpstr>附表5-2</vt:lpstr>
      <vt:lpstr>附表5-3</vt:lpstr>
      <vt:lpstr>附表5-4</vt:lpstr>
      <vt:lpstr>附表5-5</vt:lpstr>
      <vt:lpstr>封面!Print_Area</vt:lpstr>
      <vt:lpstr>'附表5-1'!Print_Area</vt:lpstr>
      <vt:lpstr>'附表1-1'!Print_Titles</vt:lpstr>
      <vt:lpstr>'附表1-10'!Print_Titles</vt:lpstr>
      <vt:lpstr>'附表1-11'!Print_Titles</vt:lpstr>
      <vt:lpstr>'附表1-12'!Print_Titles</vt:lpstr>
      <vt:lpstr>'附表1-13'!Print_Titles</vt:lpstr>
      <vt:lpstr>'附表1-14'!Print_Titles</vt:lpstr>
      <vt:lpstr>'附表1-15'!Print_Titles</vt:lpstr>
      <vt:lpstr>'附表1-16'!Print_Titles</vt:lpstr>
      <vt:lpstr>'附表1-17'!Print_Titles</vt:lpstr>
      <vt:lpstr>'附表1-18'!Print_Titles</vt:lpstr>
      <vt:lpstr>'附表1-19'!Print_Titles</vt:lpstr>
      <vt:lpstr>'附表1-2'!Print_Titles</vt:lpstr>
      <vt:lpstr>'附表1-20'!Print_Titles</vt:lpstr>
      <vt:lpstr>'附表1-21'!Print_Titles</vt:lpstr>
      <vt:lpstr>'附表1-22'!Print_Titles</vt:lpstr>
      <vt:lpstr>'附表1-3'!Print_Titles</vt:lpstr>
      <vt:lpstr>'附表1-4'!Print_Titles</vt:lpstr>
      <vt:lpstr>'附表1-5'!Print_Titles</vt:lpstr>
      <vt:lpstr>'附表1-6'!Print_Titles</vt:lpstr>
      <vt:lpstr>'附表1-7'!Print_Titles</vt:lpstr>
      <vt:lpstr>'附表1-9'!Print_Titles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预算处/俞元鹉</dc:creator>
  <cp:lastModifiedBy>null</cp:lastModifiedBy>
  <cp:lastPrinted>2023-02-07T02:12:22Z</cp:lastPrinted>
  <dcterms:created xsi:type="dcterms:W3CDTF">2008-01-10T09:59:00Z</dcterms:created>
  <dcterms:modified xsi:type="dcterms:W3CDTF">2023-02-20T09:07:19Z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2052-9.1.0.4636</vt:lpwstr>
  </property>
</Properties>
</file>