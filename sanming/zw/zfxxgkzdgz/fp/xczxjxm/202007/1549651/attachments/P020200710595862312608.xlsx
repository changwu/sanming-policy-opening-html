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8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<sst xmlns="http://schemas.openxmlformats.org/spreadsheetml/2006/main" count="43" uniqueCount="39">
  <si>
    <t>附件</t>
  </si>
  <si>
    <t>2020年三明市重点水土流失区建档立卡贫困对象非柴燃料市级补贴资金安排表</t>
  </si>
  <si>
    <t>单位：万元</t>
  </si>
  <si>
    <t>县（市、区）</t>
  </si>
  <si>
    <t>乡镇</t>
  </si>
  <si>
    <t>户数</t>
  </si>
  <si>
    <t>人数</t>
  </si>
  <si>
    <t>市级补贴资金</t>
  </si>
  <si>
    <t>明溪县</t>
  </si>
  <si>
    <t>雪峰镇</t>
  </si>
  <si>
    <t>清流县</t>
  </si>
  <si>
    <t>灵地镇</t>
  </si>
  <si>
    <t>田源乡</t>
  </si>
  <si>
    <t>余朋乡</t>
  </si>
  <si>
    <t>小  计</t>
  </si>
  <si>
    <t>宁化县</t>
  </si>
  <si>
    <t>城郊镇</t>
  </si>
  <si>
    <t>翠江镇</t>
  </si>
  <si>
    <t>方田乡</t>
  </si>
  <si>
    <t>淮土镇</t>
  </si>
  <si>
    <t>石壁镇</t>
  </si>
  <si>
    <t>中沙乡</t>
  </si>
  <si>
    <t>大田县</t>
  </si>
  <si>
    <t>广平镇</t>
  </si>
  <si>
    <t>建设镇</t>
  </si>
  <si>
    <t>均溪镇</t>
  </si>
  <si>
    <t>前坪乡</t>
  </si>
  <si>
    <t>吴山镇</t>
  </si>
  <si>
    <t>泰宁县</t>
  </si>
  <si>
    <t>朱口镇</t>
  </si>
  <si>
    <t>建宁县</t>
  </si>
  <si>
    <t>里心镇</t>
  </si>
  <si>
    <t>溪口镇</t>
  </si>
  <si>
    <t>永安市</t>
  </si>
  <si>
    <t>曹远镇</t>
  </si>
  <si>
    <t>大湖镇</t>
  </si>
  <si>
    <t>燕东街道</t>
  </si>
  <si>
    <t>燕西街道</t>
  </si>
  <si>
    <t>合  计</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</si>
</sst>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4">
    <font>
      <sz val="11"/>
      <color theme="1"/>
      <name val="宋体"/>
      <charset val="134"/>
      <scheme val="minor"/>
    </font>
    <font>
      <sz val="14"/>
      <color theme="1"/>
      <name val="黑体"/>
      <charset val="134"/>
    </font>
    <font>
      <sz val="18"/>
      <color theme="1"/>
      <name val="方正小标宋简体"/>
      <charset val="134"/>
    </font>
    <font>
      <sz val="12"/>
      <color theme="1"/>
      <name val="宋体"/>
      <charset val="134"/>
      <scheme val="minor"/>
    </font>
    <font>
      <sz val="11"/>
      <color theme="1"/>
      <name val="宋体"/>
      <charset val="134"/>
      <scheme val="minor"/>
    </font>
    <font>
      <sz val="11"/>
      <color theme="1"/>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rgb="FFFA7D00"/>
      <name val="宋体"/>
      <charset val="0"/>
      <scheme val="minor"/>
    </font>
    <font>
      <b/>
      <sz val="11"/>
      <color rgb="FFFA7D00"/>
      <name val="宋体"/>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4" fillId="0" borderId="0" applyFont="0" applyFill="0" applyBorder="0" applyAlignment="0" applyProtection="0">
      <alignment vertical="center"/>
    </xf>
    <xf numFmtId="0" fontId="5" fillId="21" borderId="0" applyNumberFormat="0" applyBorder="0" applyAlignment="0" applyProtection="0">
      <alignment vertical="center"/>
    </xf>
    <xf numFmtId="0" fontId="17" fillId="18" borderId="10"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5" fillId="3" borderId="0" applyNumberFormat="0" applyBorder="0" applyAlignment="0" applyProtection="0">
      <alignment vertical="center"/>
    </xf>
    <xf numFmtId="0" fontId="9" fillId="4" borderId="0" applyNumberFormat="0" applyBorder="0" applyAlignment="0" applyProtection="0">
      <alignment vertical="center"/>
    </xf>
    <xf numFmtId="43" fontId="4" fillId="0" borderId="0" applyFont="0" applyFill="0" applyBorder="0" applyAlignment="0" applyProtection="0">
      <alignment vertical="center"/>
    </xf>
    <xf numFmtId="0" fontId="10" fillId="17" borderId="0" applyNumberFormat="0" applyBorder="0" applyAlignment="0" applyProtection="0">
      <alignment vertical="center"/>
    </xf>
    <xf numFmtId="0" fontId="15" fillId="0" borderId="0" applyNumberFormat="0" applyFill="0" applyBorder="0" applyAlignment="0" applyProtection="0">
      <alignment vertical="center"/>
    </xf>
    <xf numFmtId="9" fontId="4" fillId="0" borderId="0" applyFont="0" applyFill="0" applyBorder="0" applyAlignment="0" applyProtection="0">
      <alignment vertical="center"/>
    </xf>
    <xf numFmtId="0" fontId="8" fillId="0" borderId="0" applyNumberFormat="0" applyFill="0" applyBorder="0" applyAlignment="0" applyProtection="0">
      <alignment vertical="center"/>
    </xf>
    <xf numFmtId="0" fontId="4" fillId="10" borderId="7" applyNumberFormat="0" applyFont="0" applyAlignment="0" applyProtection="0">
      <alignment vertical="center"/>
    </xf>
    <xf numFmtId="0" fontId="10" fillId="28" borderId="0" applyNumberFormat="0" applyBorder="0" applyAlignment="0" applyProtection="0">
      <alignment vertical="center"/>
    </xf>
    <xf numFmtId="0" fontId="7"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2" fillId="0" borderId="6" applyNumberFormat="0" applyFill="0" applyAlignment="0" applyProtection="0">
      <alignment vertical="center"/>
    </xf>
    <xf numFmtId="0" fontId="20" fillId="0" borderId="6" applyNumberFormat="0" applyFill="0" applyAlignment="0" applyProtection="0">
      <alignment vertical="center"/>
    </xf>
    <xf numFmtId="0" fontId="10" fillId="16" borderId="0" applyNumberFormat="0" applyBorder="0" applyAlignment="0" applyProtection="0">
      <alignment vertical="center"/>
    </xf>
    <xf numFmtId="0" fontId="7" fillId="0" borderId="9" applyNumberFormat="0" applyFill="0" applyAlignment="0" applyProtection="0">
      <alignment vertical="center"/>
    </xf>
    <xf numFmtId="0" fontId="10" fillId="15" borderId="0" applyNumberFormat="0" applyBorder="0" applyAlignment="0" applyProtection="0">
      <alignment vertical="center"/>
    </xf>
    <xf numFmtId="0" fontId="11" fillId="9" borderId="5" applyNumberFormat="0" applyAlignment="0" applyProtection="0">
      <alignment vertical="center"/>
    </xf>
    <xf numFmtId="0" fontId="23" fillId="9" borderId="10" applyNumberFormat="0" applyAlignment="0" applyProtection="0">
      <alignment vertical="center"/>
    </xf>
    <xf numFmtId="0" fontId="19" fillId="26" borderId="11" applyNumberFormat="0" applyAlignment="0" applyProtection="0">
      <alignment vertical="center"/>
    </xf>
    <xf numFmtId="0" fontId="5" fillId="20" borderId="0" applyNumberFormat="0" applyBorder="0" applyAlignment="0" applyProtection="0">
      <alignment vertical="center"/>
    </xf>
    <xf numFmtId="0" fontId="10" fillId="8" borderId="0" applyNumberFormat="0" applyBorder="0" applyAlignment="0" applyProtection="0">
      <alignment vertical="center"/>
    </xf>
    <xf numFmtId="0" fontId="22" fillId="0" borderId="12" applyNumberFormat="0" applyFill="0" applyAlignment="0" applyProtection="0">
      <alignment vertical="center"/>
    </xf>
    <xf numFmtId="0" fontId="13" fillId="0" borderId="8" applyNumberFormat="0" applyFill="0" applyAlignment="0" applyProtection="0">
      <alignment vertical="center"/>
    </xf>
    <xf numFmtId="0" fontId="18" fillId="19" borderId="0" applyNumberFormat="0" applyBorder="0" applyAlignment="0" applyProtection="0">
      <alignment vertical="center"/>
    </xf>
    <xf numFmtId="0" fontId="16" fillId="14" borderId="0" applyNumberFormat="0" applyBorder="0" applyAlignment="0" applyProtection="0">
      <alignment vertical="center"/>
    </xf>
    <xf numFmtId="0" fontId="5" fillId="32" borderId="0" applyNumberFormat="0" applyBorder="0" applyAlignment="0" applyProtection="0">
      <alignment vertical="center"/>
    </xf>
    <xf numFmtId="0" fontId="10" fillId="7" borderId="0" applyNumberFormat="0" applyBorder="0" applyAlignment="0" applyProtection="0">
      <alignment vertical="center"/>
    </xf>
    <xf numFmtId="0" fontId="5" fillId="31" borderId="0" applyNumberFormat="0" applyBorder="0" applyAlignment="0" applyProtection="0">
      <alignment vertical="center"/>
    </xf>
    <xf numFmtId="0" fontId="5" fillId="25" borderId="0" applyNumberFormat="0" applyBorder="0" applyAlignment="0" applyProtection="0">
      <alignment vertical="center"/>
    </xf>
    <xf numFmtId="0" fontId="5" fillId="30" borderId="0" applyNumberFormat="0" applyBorder="0" applyAlignment="0" applyProtection="0">
      <alignment vertical="center"/>
    </xf>
    <xf numFmtId="0" fontId="5" fillId="24"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5" fillId="29" borderId="0" applyNumberFormat="0" applyBorder="0" applyAlignment="0" applyProtection="0">
      <alignment vertical="center"/>
    </xf>
    <xf numFmtId="0" fontId="5" fillId="23" borderId="0" applyNumberFormat="0" applyBorder="0" applyAlignment="0" applyProtection="0">
      <alignment vertical="center"/>
    </xf>
    <xf numFmtId="0" fontId="10" fillId="5" borderId="0" applyNumberFormat="0" applyBorder="0" applyAlignment="0" applyProtection="0">
      <alignment vertical="center"/>
    </xf>
    <xf numFmtId="0" fontId="5" fillId="22" borderId="0" applyNumberFormat="0" applyBorder="0" applyAlignment="0" applyProtection="0">
      <alignment vertical="center"/>
    </xf>
    <xf numFmtId="0" fontId="10" fillId="27" borderId="0" applyNumberFormat="0" applyBorder="0" applyAlignment="0" applyProtection="0">
      <alignment vertical="center"/>
    </xf>
    <xf numFmtId="0" fontId="10" fillId="11" borderId="0" applyNumberFormat="0" applyBorder="0" applyAlignment="0" applyProtection="0">
      <alignment vertical="center"/>
    </xf>
    <xf numFmtId="0" fontId="5" fillId="2" borderId="0" applyNumberFormat="0" applyBorder="0" applyAlignment="0" applyProtection="0">
      <alignment vertical="center"/>
    </xf>
    <xf numFmtId="0" fontId="10" fillId="13" borderId="0" applyNumberFormat="0" applyBorder="0" applyAlignment="0" applyProtection="0">
      <alignment vertical="center"/>
    </xf>
  </cellStyleXfs>
  <cellXfs count="9">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righ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tabSelected="1" workbookViewId="0">
      <selection activeCell="C32" sqref="C32:E32"/>
    </sheetView>
  </sheetViews>
  <sheetFormatPr defaultColWidth="9" defaultRowHeight="13.5" outlineLevelCol="4"/>
  <cols>
    <col min="1" max="1" width="14.125" customWidth="1"/>
    <col min="2" max="2" width="14.375" customWidth="1"/>
    <col min="3" max="3" width="11.25" customWidth="1"/>
    <col min="4" max="4" width="11.125" customWidth="1"/>
    <col min="5" max="5" width="19.375" customWidth="1"/>
  </cols>
  <sheetData>
    <row r="1" ht="24" customHeight="1" spans="1:1">
      <c r="A1" s="1" t="s">
        <v>0</v>
      </c>
    </row>
    <row r="2" ht="62" customHeight="1" spans="1:5">
      <c r="A2" s="2" t="s">
        <v>1</v>
      </c>
      <c r="B2" s="3"/>
      <c r="C2" s="3"/>
      <c r="D2" s="3"/>
      <c r="E2" s="3"/>
    </row>
    <row r="3" ht="27" customHeight="1" spans="5:5">
      <c r="E3" s="4" t="s">
        <v>2</v>
      </c>
    </row>
    <row r="4" ht="25" customHeight="1" spans="1:5">
      <c r="A4" s="5" t="s">
        <v>3</v>
      </c>
      <c r="B4" s="5" t="s">
        <v>4</v>
      </c>
      <c r="C4" s="5" t="s">
        <v>5</v>
      </c>
      <c r="D4" s="5" t="s">
        <v>6</v>
      </c>
      <c r="E4" s="5" t="s">
        <v>7</v>
      </c>
    </row>
    <row r="5" ht="25" customHeight="1" spans="1:5">
      <c r="A5" s="5" t="s">
        <v>8</v>
      </c>
      <c r="B5" s="5" t="s">
        <v>9</v>
      </c>
      <c r="C5" s="5">
        <v>61</v>
      </c>
      <c r="D5" s="5">
        <v>162</v>
      </c>
      <c r="E5" s="5">
        <v>1.62</v>
      </c>
    </row>
    <row r="6" ht="25" customHeight="1" spans="1:5">
      <c r="A6" s="6" t="s">
        <v>10</v>
      </c>
      <c r="B6" s="5" t="s">
        <v>11</v>
      </c>
      <c r="C6" s="5">
        <v>107</v>
      </c>
      <c r="D6" s="5">
        <v>312</v>
      </c>
      <c r="E6" s="5">
        <v>3.12</v>
      </c>
    </row>
    <row r="7" ht="25" customHeight="1" spans="1:5">
      <c r="A7" s="7"/>
      <c r="B7" s="5" t="s">
        <v>12</v>
      </c>
      <c r="C7" s="5">
        <v>43</v>
      </c>
      <c r="D7" s="5">
        <v>166</v>
      </c>
      <c r="E7" s="5">
        <v>1.66</v>
      </c>
    </row>
    <row r="8" ht="25" customHeight="1" spans="1:5">
      <c r="A8" s="7"/>
      <c r="B8" s="5" t="s">
        <v>13</v>
      </c>
      <c r="C8" s="5">
        <v>30</v>
      </c>
      <c r="D8" s="5">
        <v>90</v>
      </c>
      <c r="E8" s="5">
        <v>0.9</v>
      </c>
    </row>
    <row r="9" ht="25" customHeight="1" spans="1:5">
      <c r="A9" s="8"/>
      <c r="B9" s="5" t="s">
        <v>14</v>
      </c>
      <c r="C9" s="5">
        <f>SUM(C6:C8)</f>
        <v>180</v>
      </c>
      <c r="D9" s="5">
        <f>SUM(D6:D8)</f>
        <v>568</v>
      </c>
      <c r="E9" s="5">
        <f>SUM(E6:E8)</f>
        <v>5.68</v>
      </c>
    </row>
    <row r="10" ht="25" customHeight="1" spans="1:5">
      <c r="A10" s="6" t="s">
        <v>15</v>
      </c>
      <c r="B10" s="5" t="s">
        <v>16</v>
      </c>
      <c r="C10" s="5">
        <v>256</v>
      </c>
      <c r="D10" s="5">
        <v>688</v>
      </c>
      <c r="E10" s="5">
        <v>6.88</v>
      </c>
    </row>
    <row r="11" ht="25" customHeight="1" spans="1:5">
      <c r="A11" s="7"/>
      <c r="B11" s="5" t="s">
        <v>17</v>
      </c>
      <c r="C11" s="5">
        <v>117</v>
      </c>
      <c r="D11" s="5">
        <v>274</v>
      </c>
      <c r="E11" s="5">
        <v>2.74</v>
      </c>
    </row>
    <row r="12" ht="25" customHeight="1" spans="1:5">
      <c r="A12" s="7"/>
      <c r="B12" s="5" t="s">
        <v>18</v>
      </c>
      <c r="C12" s="5">
        <v>171</v>
      </c>
      <c r="D12" s="5">
        <v>468</v>
      </c>
      <c r="E12" s="5">
        <v>4.68</v>
      </c>
    </row>
    <row r="13" ht="25" customHeight="1" spans="1:5">
      <c r="A13" s="7"/>
      <c r="B13" s="5" t="s">
        <v>19</v>
      </c>
      <c r="C13" s="5">
        <v>413</v>
      </c>
      <c r="D13" s="5">
        <v>1120</v>
      </c>
      <c r="E13" s="5">
        <v>11.2</v>
      </c>
    </row>
    <row r="14" ht="25" customHeight="1" spans="1:5">
      <c r="A14" s="7"/>
      <c r="B14" s="5" t="s">
        <v>20</v>
      </c>
      <c r="C14" s="5">
        <v>671</v>
      </c>
      <c r="D14" s="5">
        <v>1817</v>
      </c>
      <c r="E14" s="5">
        <v>18.17</v>
      </c>
    </row>
    <row r="15" ht="25" customHeight="1" spans="1:5">
      <c r="A15" s="7"/>
      <c r="B15" s="5" t="s">
        <v>21</v>
      </c>
      <c r="C15" s="5">
        <v>213</v>
      </c>
      <c r="D15" s="5">
        <v>649</v>
      </c>
      <c r="E15" s="5">
        <v>6.49</v>
      </c>
    </row>
    <row r="16" ht="25" customHeight="1" spans="1:5">
      <c r="A16" s="8"/>
      <c r="B16" s="5" t="s">
        <v>14</v>
      </c>
      <c r="C16" s="5">
        <f>SUM(C10:C15)</f>
        <v>1841</v>
      </c>
      <c r="D16" s="5">
        <f>SUM(D10:D15)</f>
        <v>5016</v>
      </c>
      <c r="E16" s="5">
        <f>SUM(E10:E15)</f>
        <v>50.16</v>
      </c>
    </row>
    <row r="17" ht="25" customHeight="1" spans="1:5">
      <c r="A17" s="6" t="s">
        <v>22</v>
      </c>
      <c r="B17" s="5" t="s">
        <v>23</v>
      </c>
      <c r="C17" s="5">
        <v>241</v>
      </c>
      <c r="D17" s="5">
        <v>765</v>
      </c>
      <c r="E17" s="5">
        <v>7.65</v>
      </c>
    </row>
    <row r="18" ht="25" customHeight="1" spans="1:5">
      <c r="A18" s="7"/>
      <c r="B18" s="5" t="s">
        <v>24</v>
      </c>
      <c r="C18" s="5">
        <v>195</v>
      </c>
      <c r="D18" s="5">
        <v>692</v>
      </c>
      <c r="E18" s="5">
        <v>6.92</v>
      </c>
    </row>
    <row r="19" ht="25" customHeight="1" spans="1:5">
      <c r="A19" s="7"/>
      <c r="B19" s="5" t="s">
        <v>25</v>
      </c>
      <c r="C19" s="5">
        <v>248</v>
      </c>
      <c r="D19" s="5">
        <v>728</v>
      </c>
      <c r="E19" s="5">
        <v>7.28</v>
      </c>
    </row>
    <row r="20" ht="25" customHeight="1" spans="1:5">
      <c r="A20" s="7"/>
      <c r="B20" s="5" t="s">
        <v>26</v>
      </c>
      <c r="C20" s="5">
        <v>60</v>
      </c>
      <c r="D20" s="5">
        <v>175</v>
      </c>
      <c r="E20" s="5">
        <v>1.75</v>
      </c>
    </row>
    <row r="21" ht="25" customHeight="1" spans="1:5">
      <c r="A21" s="7"/>
      <c r="B21" s="5" t="s">
        <v>27</v>
      </c>
      <c r="C21" s="5">
        <v>67</v>
      </c>
      <c r="D21" s="5">
        <v>204</v>
      </c>
      <c r="E21" s="5">
        <v>2.04</v>
      </c>
    </row>
    <row r="22" ht="25" customHeight="1" spans="1:5">
      <c r="A22" s="8"/>
      <c r="B22" s="5" t="s">
        <v>14</v>
      </c>
      <c r="C22" s="5">
        <f>SUM(C17:C21)</f>
        <v>811</v>
      </c>
      <c r="D22" s="5">
        <f>SUM(D17:D21)</f>
        <v>2564</v>
      </c>
      <c r="E22" s="5">
        <f>SUM(E17:E21)</f>
        <v>25.64</v>
      </c>
    </row>
    <row r="23" ht="25" customHeight="1" spans="1:5">
      <c r="A23" s="5" t="s">
        <v>28</v>
      </c>
      <c r="B23" s="5" t="s">
        <v>29</v>
      </c>
      <c r="C23" s="5">
        <v>354</v>
      </c>
      <c r="D23" s="5">
        <v>1035</v>
      </c>
      <c r="E23" s="5">
        <v>10.35</v>
      </c>
    </row>
    <row r="24" ht="25" customHeight="1" spans="1:5">
      <c r="A24" s="6" t="s">
        <v>30</v>
      </c>
      <c r="B24" s="5" t="s">
        <v>31</v>
      </c>
      <c r="C24" s="5">
        <v>264</v>
      </c>
      <c r="D24" s="5">
        <v>733</v>
      </c>
      <c r="E24" s="5">
        <v>7.33</v>
      </c>
    </row>
    <row r="25" ht="25" customHeight="1" spans="1:5">
      <c r="A25" s="7"/>
      <c r="B25" s="5" t="s">
        <v>32</v>
      </c>
      <c r="C25" s="5">
        <v>68</v>
      </c>
      <c r="D25" s="5">
        <v>138</v>
      </c>
      <c r="E25" s="5">
        <v>1.38</v>
      </c>
    </row>
    <row r="26" ht="25" customHeight="1" spans="1:5">
      <c r="A26" s="8"/>
      <c r="B26" s="5" t="s">
        <v>14</v>
      </c>
      <c r="C26" s="5">
        <f>SUM(C24:C25)</f>
        <v>332</v>
      </c>
      <c r="D26" s="5">
        <f>SUM(D24:D25)</f>
        <v>871</v>
      </c>
      <c r="E26" s="5">
        <f>SUM(E24:E25)</f>
        <v>8.71</v>
      </c>
    </row>
    <row r="27" ht="25" customHeight="1" spans="1:5">
      <c r="A27" s="6" t="s">
        <v>33</v>
      </c>
      <c r="B27" s="5" t="s">
        <v>34</v>
      </c>
      <c r="C27" s="5">
        <v>9</v>
      </c>
      <c r="D27" s="5">
        <v>24</v>
      </c>
      <c r="E27" s="5">
        <v>0.24</v>
      </c>
    </row>
    <row r="28" ht="25" customHeight="1" spans="1:5">
      <c r="A28" s="7"/>
      <c r="B28" s="5" t="s">
        <v>35</v>
      </c>
      <c r="C28" s="5">
        <v>29</v>
      </c>
      <c r="D28" s="5">
        <v>47</v>
      </c>
      <c r="E28" s="5">
        <v>0.47</v>
      </c>
    </row>
    <row r="29" ht="25" customHeight="1" spans="1:5">
      <c r="A29" s="7"/>
      <c r="B29" s="5" t="s">
        <v>36</v>
      </c>
      <c r="C29" s="5">
        <v>2</v>
      </c>
      <c r="D29" s="5">
        <v>4</v>
      </c>
      <c r="E29" s="5">
        <v>0.04</v>
      </c>
    </row>
    <row r="30" ht="25" customHeight="1" spans="1:5">
      <c r="A30" s="7"/>
      <c r="B30" s="5" t="s">
        <v>37</v>
      </c>
      <c r="C30" s="5">
        <v>4</v>
      </c>
      <c r="D30" s="5">
        <v>6</v>
      </c>
      <c r="E30" s="5">
        <v>0.06</v>
      </c>
    </row>
    <row r="31" ht="25" customHeight="1" spans="1:5">
      <c r="A31" s="8"/>
      <c r="B31" s="5" t="s">
        <v>14</v>
      </c>
      <c r="C31" s="5">
        <f>SUM(C27:C30)</f>
        <v>44</v>
      </c>
      <c r="D31" s="5">
        <f>SUM(D27:D30)</f>
        <v>81</v>
      </c>
      <c r="E31" s="5">
        <f>SUM(E27:E30)</f>
        <v>0.81</v>
      </c>
    </row>
    <row r="32" ht="25" customHeight="1" spans="1:5">
      <c r="A32" s="5" t="s">
        <v>38</v>
      </c>
      <c r="B32" s="5"/>
      <c r="C32" s="5">
        <f>C5+C9+C16+C22+C23+C26+C31</f>
        <v>3623</v>
      </c>
      <c r="D32" s="5">
        <f>D5+D9+D16+D22+D23+D26+D31</f>
        <v>10297</v>
      </c>
      <c r="E32" s="5">
        <f>E5+E9+E16+E22+E23+E26+E31</f>
        <v>102.97</v>
      </c>
    </row>
  </sheetData>
  <mergeCells count="6">
    <mergeCell ref="A2:E2"/>
    <mergeCell ref="A6:A9"/>
    <mergeCell ref="A10:A16"/>
    <mergeCell ref="A17:A22"/>
    <mergeCell ref="A24:A26"/>
    <mergeCell ref="A27:A31"/>
  </mergeCells>
  <pageMargins left="0.7" right="0.7" top="0.75" bottom="0.75" header="0.3" footer="0.3"/>
  <pageSetup paperSize="9" orientation="portrait"/>
  <headerFooter/>
  <ignoredErrors>
    <ignoredError sqref="C26:E26 C9:E9" formulaRange="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2020-07-09T10:10:36Z</dcterms:created>
  <dcterms:modified xsi:type="dcterms:W3CDTF">2020-07-09T10:24:49Z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2052-11.1.0.9513</vt:lpwstr>
  </property>
</Properties>
</file>